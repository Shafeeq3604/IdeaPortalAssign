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mpare" sheetId="2" state="visible" r:id="rId2"/>
    <sheet xmlns:r="http://schemas.openxmlformats.org/officeDocument/2006/relationships" name="Lists" sheetId="3" state="hidden" r:id="rId3"/>
    <sheet xmlns:r="http://schemas.openxmlformats.org/officeDocument/2006/relationships" name="Annotator A" sheetId="4" state="visible" r:id="rId4"/>
    <sheet xmlns:r="http://schemas.openxmlformats.org/officeDocument/2006/relationships" name="Annotator B" sheetId="5" state="visible" r:id="rId5"/>
    <sheet xmlns:r="http://schemas.openxmlformats.org/officeDocument/2006/relationships" name="Key" sheetId="6" state="visible" r:id="rId6"/>
  </sheets>
  <definedNames>
    <definedName name="_xlnm._FilterDatabase" localSheetId="1" hidden="1">'Compare'!$A$1:$I$801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i val="1"/>
      <sz val="9"/>
    </font>
    <font>
      <name val="Arial"/>
      <b val="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5" fillId="3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pivotButton="0" quotePrefix="0" xfId="0"/>
    <xf numFmtId="0" fontId="3" fillId="0" borderId="0" pivotButton="0" quotePrefix="0" xfId="0"/>
    <xf numFmtId="0" fontId="4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Golden-set adjudication</t>
        </is>
      </c>
    </row>
    <row r="2">
      <c r="A2" s="2" t="inlineStr">
        <is>
          <t>For the person resolving disagreements between the two annotators (SPEC §12.4: "two annotators with disagreements resolved").</t>
        </is>
      </c>
    </row>
    <row r="3">
      <c r="A3" s="2" t="inlineStr"/>
    </row>
    <row r="4">
      <c r="A4" s="2" t="inlineStr">
        <is>
          <t>1. Open each annotator's returned file, select their whole Labels tab (Ctrl+A), copy, and paste into cell A1 of 'Annotator A' / 'Annotator B' here.</t>
        </is>
      </c>
    </row>
    <row r="5">
      <c r="A5" s="2" t="inlineStr">
        <is>
          <t>2. The Compare tab lines up A, B and the original draft label for every field. Rows where A and B differ are shaded.</t>
        </is>
      </c>
    </row>
    <row r="6">
      <c r="A6" s="2" t="inlineStr">
        <is>
          <t>3. For each shaded row, decide and type the final label in the yellow 'Agreed' column. Where A and B agree, 'Agreed' may be left blank — the agreed value is used.</t>
        </is>
      </c>
    </row>
    <row r="7">
      <c r="A7" s="2" t="inlineStr">
        <is>
          <t>4. Use cases are free text, so they are never auto-compared: read both and write the agreed list.</t>
        </is>
      </c>
    </row>
    <row r="8">
      <c r="A8" s="2" t="inlineStr">
        <is>
          <t>5. Send this file back. The agreed labels replace the draft groundTruth blocks in tests/evals/cases.ts.</t>
        </is>
      </c>
    </row>
    <row r="9">
      <c r="A9" s="2" t="inlineStr"/>
    </row>
    <row r="10">
      <c r="A10" s="3" t="inlineStr">
        <is>
          <t>The 'Draft' column is the single-author first pass already in the code. It is shown only here, never to the annotators, so it could not bias their reads.</t>
        </is>
      </c>
    </row>
    <row r="11">
      <c r="A11" s="3" t="inlineStr">
        <is>
          <t>The Key tab maps each L-ID to its case in the code and its SPEC group. Annotators never saw the groups.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24" customWidth="1" min="4" max="4"/>
    <col width="24" customWidth="1" min="5" max="5"/>
    <col width="24" customWidth="1" min="6" max="6"/>
    <col width="11" customWidth="1" min="7" max="7"/>
    <col width="26" customWidth="1" min="8" max="8"/>
    <col width="24" customWidth="1" min="9" max="9"/>
    <col width="40" customWidth="1" min="11" max="11"/>
  </cols>
  <sheetData>
    <row r="1">
      <c r="A1" s="4" t="inlineStr">
        <is>
          <t>ID</t>
        </is>
      </c>
      <c r="B1" s="4" t="inlineStr">
        <is>
          <t>SPEC group</t>
        </is>
      </c>
      <c r="C1" s="4" t="inlineStr">
        <is>
          <t>Field</t>
        </is>
      </c>
      <c r="D1" s="4" t="inlineStr">
        <is>
          <t>Draft (code today)</t>
        </is>
      </c>
      <c r="E1" s="4" t="inlineStr">
        <is>
          <t>Annotator A</t>
        </is>
      </c>
      <c r="F1" s="4" t="inlineStr">
        <is>
          <t>Annotator B</t>
        </is>
      </c>
      <c r="G1" s="4" t="inlineStr">
        <is>
          <t>A vs B</t>
        </is>
      </c>
      <c r="H1" s="4" t="inlineStr">
        <is>
          <t>Agreed</t>
        </is>
      </c>
      <c r="I1" s="4" t="inlineStr">
        <is>
          <t>Final label</t>
        </is>
      </c>
      <c r="K1" s="5" t="inlineStr">
        <is>
          <t>Rows where A and B differ:</t>
        </is>
      </c>
      <c r="L1" s="5">
        <f>COUNTIF(G2:G801,"DIFFER")</f>
        <v/>
      </c>
    </row>
    <row r="2">
      <c r="A2" s="6" t="inlineStr">
        <is>
          <t>L01</t>
        </is>
      </c>
      <c r="B2" s="6" t="inlineStr">
        <is>
          <t>near-duplicate</t>
        </is>
      </c>
      <c r="C2" s="6" t="inlineStr">
        <is>
          <t>Use cases</t>
        </is>
      </c>
      <c r="D2" s="6" t="inlineStr">
        <is>
          <t>single status view showing current approver and elapsed time</t>
        </is>
      </c>
      <c r="E2" s="6">
        <f>IFERROR(INDEX('Annotator A'!$C$5:$C$44,MATCH($A2,'Annotator A'!$A$5:$A$44,0))&amp;"","")</f>
        <v/>
      </c>
      <c r="F2" s="6">
        <f>IFERROR(INDEX('Annotator B'!$C$5:$C$44,MATCH($A2,'Annotator B'!$A$5:$A$44,0))&amp;"","")</f>
        <v/>
      </c>
      <c r="G2" s="6" t="inlineStr">
        <is>
          <t>read both</t>
        </is>
      </c>
      <c r="H2" s="7" t="n"/>
      <c r="I2" s="6">
        <f>IF(H2&lt;&gt;"",H2,"")</f>
        <v/>
      </c>
      <c r="K2" s="5" t="inlineStr">
        <is>
          <t>Differing rows still without an agreed label:</t>
        </is>
      </c>
      <c r="L2" s="5">
        <f>COUNTIFS(G2:G801,"DIFFER",H2:H801,"")</f>
        <v/>
      </c>
    </row>
    <row r="3">
      <c r="A3" s="6" t="inlineStr">
        <is>
          <t>L01</t>
        </is>
      </c>
      <c r="B3" s="6" t="inlineStr">
        <is>
          <t>near-duplicate</t>
        </is>
      </c>
      <c r="C3" s="6" t="inlineStr">
        <is>
          <t>Value — Business impact</t>
        </is>
      </c>
      <c r="D3" s="6" t="inlineStr"/>
      <c r="E3" s="6">
        <f>IFERROR(INDEX('Annotator A'!$D$5:$D$44,MATCH($A3,'Annotator A'!$A$5:$A$44,0))&amp;"","")</f>
        <v/>
      </c>
      <c r="F3" s="6">
        <f>IFERROR(INDEX('Annotator B'!$D$5:$D$44,MATCH($A3,'Annotator B'!$A$5:$A$44,0))&amp;"","")</f>
        <v/>
      </c>
      <c r="G3" s="6">
        <f>IF(AND(E3="",F3=""),"",IF(E3=F3,"agree","DIFFER"))</f>
        <v/>
      </c>
      <c r="H3" s="7" t="n"/>
      <c r="I3" s="6">
        <f>IF(H3&lt;&gt;"",H3,IF(G3="agree",E3,""))</f>
        <v/>
      </c>
    </row>
    <row r="4">
      <c r="A4" s="6" t="inlineStr">
        <is>
          <t>L01</t>
        </is>
      </c>
      <c r="B4" s="6" t="inlineStr">
        <is>
          <t>near-duplicate</t>
        </is>
      </c>
      <c r="C4" s="6" t="inlineStr">
        <is>
          <t>Value — Productivity</t>
        </is>
      </c>
      <c r="D4" s="6" t="inlineStr"/>
      <c r="E4" s="6">
        <f>IFERROR(INDEX('Annotator A'!$E$5:$E$44,MATCH($A4,'Annotator A'!$A$5:$A$44,0))&amp;"","")</f>
        <v/>
      </c>
      <c r="F4" s="6">
        <f>IFERROR(INDEX('Annotator B'!$E$5:$E$44,MATCH($A4,'Annotator B'!$A$5:$A$44,0))&amp;"","")</f>
        <v/>
      </c>
      <c r="G4" s="6">
        <f>IF(AND(E4="",F4=""),"",IF(E4=F4,"agree","DIFFER"))</f>
        <v/>
      </c>
      <c r="H4" s="7" t="n"/>
      <c r="I4" s="6">
        <f>IF(H4&lt;&gt;"",H4,IF(G4="agree",E4,""))</f>
        <v/>
      </c>
    </row>
    <row r="5">
      <c r="A5" s="6" t="inlineStr">
        <is>
          <t>L01</t>
        </is>
      </c>
      <c r="B5" s="6" t="inlineStr">
        <is>
          <t>near-duplicate</t>
        </is>
      </c>
      <c r="C5" s="6" t="inlineStr">
        <is>
          <t>Value — Cost reduction</t>
        </is>
      </c>
      <c r="D5" s="6" t="inlineStr"/>
      <c r="E5" s="6">
        <f>IFERROR(INDEX('Annotator A'!$F$5:$F$44,MATCH($A5,'Annotator A'!$A$5:$A$44,0))&amp;"","")</f>
        <v/>
      </c>
      <c r="F5" s="6">
        <f>IFERROR(INDEX('Annotator B'!$F$5:$F$44,MATCH($A5,'Annotator B'!$A$5:$A$44,0))&amp;"","")</f>
        <v/>
      </c>
      <c r="G5" s="6">
        <f>IF(AND(E5="",F5=""),"",IF(E5=F5,"agree","DIFFER"))</f>
        <v/>
      </c>
      <c r="H5" s="7" t="n"/>
      <c r="I5" s="6">
        <f>IF(H5&lt;&gt;"",H5,IF(G5="agree",E5,""))</f>
        <v/>
      </c>
    </row>
    <row r="6">
      <c r="A6" s="6" t="inlineStr">
        <is>
          <t>L01</t>
        </is>
      </c>
      <c r="B6" s="6" t="inlineStr">
        <is>
          <t>near-duplicate</t>
        </is>
      </c>
      <c r="C6" s="6" t="inlineStr">
        <is>
          <t>Value — Revenue</t>
        </is>
      </c>
      <c r="D6" s="6" t="inlineStr"/>
      <c r="E6" s="6">
        <f>IFERROR(INDEX('Annotator A'!$G$5:$G$44,MATCH($A6,'Annotator A'!$A$5:$A$44,0))&amp;"","")</f>
        <v/>
      </c>
      <c r="F6" s="6">
        <f>IFERROR(INDEX('Annotator B'!$G$5:$G$44,MATCH($A6,'Annotator B'!$A$5:$A$44,0))&amp;"","")</f>
        <v/>
      </c>
      <c r="G6" s="6">
        <f>IF(AND(E6="",F6=""),"",IF(E6=F6,"agree","DIFFER"))</f>
        <v/>
      </c>
      <c r="H6" s="7" t="n"/>
      <c r="I6" s="6">
        <f>IF(H6&lt;&gt;"",H6,IF(G6="agree",E6,""))</f>
        <v/>
      </c>
    </row>
    <row r="7">
      <c r="A7" s="6" t="inlineStr">
        <is>
          <t>L01</t>
        </is>
      </c>
      <c r="B7" s="6" t="inlineStr">
        <is>
          <t>near-duplicate</t>
        </is>
      </c>
      <c r="C7" s="6" t="inlineStr">
        <is>
          <t>Value — Employee experience</t>
        </is>
      </c>
      <c r="D7" s="6" t="inlineStr"/>
      <c r="E7" s="6">
        <f>IFERROR(INDEX('Annotator A'!$H$5:$H$44,MATCH($A7,'Annotator A'!$A$5:$A$44,0))&amp;"","")</f>
        <v/>
      </c>
      <c r="F7" s="6">
        <f>IFERROR(INDEX('Annotator B'!$H$5:$H$44,MATCH($A7,'Annotator B'!$A$5:$A$44,0))&amp;"","")</f>
        <v/>
      </c>
      <c r="G7" s="6">
        <f>IF(AND(E7="",F7=""),"",IF(E7=F7,"agree","DIFFER"))</f>
        <v/>
      </c>
      <c r="H7" s="7" t="n"/>
      <c r="I7" s="6">
        <f>IF(H7&lt;&gt;"",H7,IF(G7="agree",E7,""))</f>
        <v/>
      </c>
    </row>
    <row r="8">
      <c r="A8" s="6" t="inlineStr">
        <is>
          <t>L01</t>
        </is>
      </c>
      <c r="B8" s="6" t="inlineStr">
        <is>
          <t>near-duplicate</t>
        </is>
      </c>
      <c r="C8" s="6" t="inlineStr">
        <is>
          <t>Value — Customer impact</t>
        </is>
      </c>
      <c r="D8" s="6" t="inlineStr"/>
      <c r="E8" s="6">
        <f>IFERROR(INDEX('Annotator A'!$I$5:$I$44,MATCH($A8,'Annotator A'!$A$5:$A$44,0))&amp;"","")</f>
        <v/>
      </c>
      <c r="F8" s="6">
        <f>IFERROR(INDEX('Annotator B'!$I$5:$I$44,MATCH($A8,'Annotator B'!$A$5:$A$44,0))&amp;"","")</f>
        <v/>
      </c>
      <c r="G8" s="6">
        <f>IF(AND(E8="",F8=""),"",IF(E8=F8,"agree","DIFFER"))</f>
        <v/>
      </c>
      <c r="H8" s="7" t="n"/>
      <c r="I8" s="6">
        <f>IF(H8&lt;&gt;"",H8,IF(G8="agree",E8,""))</f>
        <v/>
      </c>
    </row>
    <row r="9">
      <c r="A9" s="6" t="inlineStr">
        <is>
          <t>L01</t>
        </is>
      </c>
      <c r="B9" s="6" t="inlineStr">
        <is>
          <t>near-duplicate</t>
        </is>
      </c>
      <c r="C9" s="6" t="inlineStr">
        <is>
          <t>Value — Operational</t>
        </is>
      </c>
      <c r="D9" s="6" t="inlineStr">
        <is>
          <t>Moderate</t>
        </is>
      </c>
      <c r="E9" s="6">
        <f>IFERROR(INDEX('Annotator A'!$J$5:$J$44,MATCH($A9,'Annotator A'!$A$5:$A$44,0))&amp;"","")</f>
        <v/>
      </c>
      <c r="F9" s="6">
        <f>IFERROR(INDEX('Annotator B'!$J$5:$J$44,MATCH($A9,'Annotator B'!$A$5:$A$44,0))&amp;"","")</f>
        <v/>
      </c>
      <c r="G9" s="6">
        <f>IF(AND(E9="",F9=""),"",IF(E9=F9,"agree","DIFFER"))</f>
        <v/>
      </c>
      <c r="H9" s="7" t="n"/>
      <c r="I9" s="6">
        <f>IF(H9&lt;&gt;"",H9,IF(G9="agree",E9,""))</f>
        <v/>
      </c>
    </row>
    <row r="10">
      <c r="A10" s="6" t="inlineStr">
        <is>
          <t>L01</t>
        </is>
      </c>
      <c r="B10" s="6" t="inlineStr">
        <is>
          <t>near-duplicate</t>
        </is>
      </c>
      <c r="C10" s="6" t="inlineStr">
        <is>
          <t>Value — Problem severity</t>
        </is>
      </c>
      <c r="D10" s="6" t="inlineStr"/>
      <c r="E10" s="6">
        <f>IFERROR(INDEX('Annotator A'!$K$5:$K$44,MATCH($A10,'Annotator A'!$A$5:$A$44,0))&amp;"","")</f>
        <v/>
      </c>
      <c r="F10" s="6">
        <f>IFERROR(INDEX('Annotator B'!$K$5:$K$44,MATCH($A10,'Annotator B'!$A$5:$A$44,0))&amp;"","")</f>
        <v/>
      </c>
      <c r="G10" s="6">
        <f>IF(AND(E10="",F10=""),"",IF(E10=F10,"agree","DIFFER"))</f>
        <v/>
      </c>
      <c r="H10" s="7" t="n"/>
      <c r="I10" s="6">
        <f>IF(H10&lt;&gt;"",H10,IF(G10="agree",E10,""))</f>
        <v/>
      </c>
    </row>
    <row r="11">
      <c r="A11" s="6" t="inlineStr">
        <is>
          <t>L01</t>
        </is>
      </c>
      <c r="B11" s="6" t="inlineStr">
        <is>
          <t>near-duplicate</t>
        </is>
      </c>
      <c r="C11" s="6" t="inlineStr">
        <is>
          <t>Value — Problem frequency</t>
        </is>
      </c>
      <c r="D11" s="6" t="inlineStr">
        <is>
          <t>High</t>
        </is>
      </c>
      <c r="E11" s="6">
        <f>IFERROR(INDEX('Annotator A'!$L$5:$L$44,MATCH($A11,'Annotator A'!$A$5:$A$44,0))&amp;"","")</f>
        <v/>
      </c>
      <c r="F11" s="6">
        <f>IFERROR(INDEX('Annotator B'!$L$5:$L$44,MATCH($A11,'Annotator B'!$A$5:$A$44,0))&amp;"","")</f>
        <v/>
      </c>
      <c r="G11" s="6">
        <f>IF(AND(E11="",F11=""),"",IF(E11=F11,"agree","DIFFER"))</f>
        <v/>
      </c>
      <c r="H11" s="7" t="n"/>
      <c r="I11" s="6">
        <f>IF(H11&lt;&gt;"",H11,IF(G11="agree",E11,""))</f>
        <v/>
      </c>
    </row>
    <row r="12">
      <c r="A12" s="6" t="inlineStr">
        <is>
          <t>L01</t>
        </is>
      </c>
      <c r="B12" s="6" t="inlineStr">
        <is>
          <t>near-duplicate</t>
        </is>
      </c>
      <c r="C12" s="6" t="inlineStr">
        <is>
          <t>Feasibility status</t>
        </is>
      </c>
      <c r="D12" s="6" t="inlineStr">
        <is>
          <t>FEASIBLE_WITH_CONDITIONS</t>
        </is>
      </c>
      <c r="E12" s="6">
        <f>IFERROR(INDEX('Annotator A'!$M$5:$M$44,MATCH($A12,'Annotator A'!$A$5:$A$44,0))&amp;"","")</f>
        <v/>
      </c>
      <c r="F12" s="6">
        <f>IFERROR(INDEX('Annotator B'!$M$5:$M$44,MATCH($A12,'Annotator B'!$A$5:$A$44,0))&amp;"","")</f>
        <v/>
      </c>
      <c r="G12" s="6">
        <f>IF(AND(E12="",F12=""),"",IF(E12=F12,"agree","DIFFER"))</f>
        <v/>
      </c>
      <c r="H12" s="7" t="n"/>
      <c r="I12" s="6">
        <f>IF(H12&lt;&gt;"",H12,IF(G12="agree",E12,""))</f>
        <v/>
      </c>
    </row>
    <row r="13">
      <c r="A13" s="6" t="inlineStr">
        <is>
          <t>L01</t>
        </is>
      </c>
      <c r="B13" s="6" t="inlineStr">
        <is>
          <t>near-duplicate</t>
        </is>
      </c>
      <c r="C13" s="6" t="inlineStr">
        <is>
          <t>Risk — Technical</t>
        </is>
      </c>
      <c r="D13" s="6" t="inlineStr"/>
      <c r="E13" s="6">
        <f>IFERROR(INDEX('Annotator A'!$N$5:$N$44,MATCH($A13,'Annotator A'!$A$5:$A$44,0))&amp;"","")</f>
        <v/>
      </c>
      <c r="F13" s="6">
        <f>IFERROR(INDEX('Annotator B'!$N$5:$N$44,MATCH($A13,'Annotator B'!$A$5:$A$44,0))&amp;"","")</f>
        <v/>
      </c>
      <c r="G13" s="6">
        <f>IF(AND(E13="",F13=""),"",IF(E13=F13,"agree","DIFFER"))</f>
        <v/>
      </c>
      <c r="H13" s="7" t="n"/>
      <c r="I13" s="6">
        <f>IF(H13&lt;&gt;"",H13,IF(G13="agree",E13,""))</f>
        <v/>
      </c>
    </row>
    <row r="14">
      <c r="A14" s="6" t="inlineStr">
        <is>
          <t>L01</t>
        </is>
      </c>
      <c r="B14" s="6" t="inlineStr">
        <is>
          <t>near-duplicate</t>
        </is>
      </c>
      <c r="C14" s="6" t="inlineStr">
        <is>
          <t>Risk — Security</t>
        </is>
      </c>
      <c r="D14" s="6" t="inlineStr"/>
      <c r="E14" s="6">
        <f>IFERROR(INDEX('Annotator A'!$O$5:$O$44,MATCH($A14,'Annotator A'!$A$5:$A$44,0))&amp;"","")</f>
        <v/>
      </c>
      <c r="F14" s="6">
        <f>IFERROR(INDEX('Annotator B'!$O$5:$O$44,MATCH($A14,'Annotator B'!$A$5:$A$44,0))&amp;"","")</f>
        <v/>
      </c>
      <c r="G14" s="6">
        <f>IF(AND(E14="",F14=""),"",IF(E14=F14,"agree","DIFFER"))</f>
        <v/>
      </c>
      <c r="H14" s="7" t="n"/>
      <c r="I14" s="6">
        <f>IF(H14&lt;&gt;"",H14,IF(G14="agree",E14,""))</f>
        <v/>
      </c>
    </row>
    <row r="15">
      <c r="A15" s="6" t="inlineStr">
        <is>
          <t>L01</t>
        </is>
      </c>
      <c r="B15" s="6" t="inlineStr">
        <is>
          <t>near-duplicate</t>
        </is>
      </c>
      <c r="C15" s="6" t="inlineStr">
        <is>
          <t>Risk — Privacy</t>
        </is>
      </c>
      <c r="D15" s="6" t="inlineStr"/>
      <c r="E15" s="6">
        <f>IFERROR(INDEX('Annotator A'!$P$5:$P$44,MATCH($A15,'Annotator A'!$A$5:$A$44,0))&amp;"","")</f>
        <v/>
      </c>
      <c r="F15" s="6">
        <f>IFERROR(INDEX('Annotator B'!$P$5:$P$44,MATCH($A15,'Annotator B'!$A$5:$A$44,0))&amp;"","")</f>
        <v/>
      </c>
      <c r="G15" s="6">
        <f>IF(AND(E15="",F15=""),"",IF(E15=F15,"agree","DIFFER"))</f>
        <v/>
      </c>
      <c r="H15" s="7" t="n"/>
      <c r="I15" s="6">
        <f>IF(H15&lt;&gt;"",H15,IF(G15="agree",E15,""))</f>
        <v/>
      </c>
    </row>
    <row r="16">
      <c r="A16" s="6" t="inlineStr">
        <is>
          <t>L01</t>
        </is>
      </c>
      <c r="B16" s="6" t="inlineStr">
        <is>
          <t>near-duplicate</t>
        </is>
      </c>
      <c r="C16" s="6" t="inlineStr">
        <is>
          <t>Risk — Compliance</t>
        </is>
      </c>
      <c r="D16" s="6" t="inlineStr"/>
      <c r="E16" s="6">
        <f>IFERROR(INDEX('Annotator A'!$Q$5:$Q$44,MATCH($A16,'Annotator A'!$A$5:$A$44,0))&amp;"","")</f>
        <v/>
      </c>
      <c r="F16" s="6">
        <f>IFERROR(INDEX('Annotator B'!$Q$5:$Q$44,MATCH($A16,'Annotator B'!$A$5:$A$44,0))&amp;"","")</f>
        <v/>
      </c>
      <c r="G16" s="6">
        <f>IF(AND(E16="",F16=""),"",IF(E16=F16,"agree","DIFFER"))</f>
        <v/>
      </c>
      <c r="H16" s="7" t="n"/>
      <c r="I16" s="6">
        <f>IF(H16&lt;&gt;"",H16,IF(G16="agree",E16,""))</f>
        <v/>
      </c>
    </row>
    <row r="17">
      <c r="A17" s="6" t="inlineStr">
        <is>
          <t>L01</t>
        </is>
      </c>
      <c r="B17" s="6" t="inlineStr">
        <is>
          <t>near-duplicate</t>
        </is>
      </c>
      <c r="C17" s="6" t="inlineStr">
        <is>
          <t>Risk — Financial</t>
        </is>
      </c>
      <c r="D17" s="6" t="inlineStr"/>
      <c r="E17" s="6">
        <f>IFERROR(INDEX('Annotator A'!$R$5:$R$44,MATCH($A17,'Annotator A'!$A$5:$A$44,0))&amp;"","")</f>
        <v/>
      </c>
      <c r="F17" s="6">
        <f>IFERROR(INDEX('Annotator B'!$R$5:$R$44,MATCH($A17,'Annotator B'!$A$5:$A$44,0))&amp;"","")</f>
        <v/>
      </c>
      <c r="G17" s="6">
        <f>IF(AND(E17="",F17=""),"",IF(E17=F17,"agree","DIFFER"))</f>
        <v/>
      </c>
      <c r="H17" s="7" t="n"/>
      <c r="I17" s="6">
        <f>IF(H17&lt;&gt;"",H17,IF(G17="agree",E17,""))</f>
        <v/>
      </c>
    </row>
    <row r="18">
      <c r="A18" s="6" t="inlineStr">
        <is>
          <t>L01</t>
        </is>
      </c>
      <c r="B18" s="6" t="inlineStr">
        <is>
          <t>near-duplicate</t>
        </is>
      </c>
      <c r="C18" s="6" t="inlineStr">
        <is>
          <t>Risk — Operational</t>
        </is>
      </c>
      <c r="D18" s="6" t="inlineStr"/>
      <c r="E18" s="6">
        <f>IFERROR(INDEX('Annotator A'!$S$5:$S$44,MATCH($A18,'Annotator A'!$A$5:$A$44,0))&amp;"","")</f>
        <v/>
      </c>
      <c r="F18" s="6">
        <f>IFERROR(INDEX('Annotator B'!$S$5:$S$44,MATCH($A18,'Annotator B'!$A$5:$A$44,0))&amp;"","")</f>
        <v/>
      </c>
      <c r="G18" s="6">
        <f>IF(AND(E18="",F18=""),"",IF(E18=F18,"agree","DIFFER"))</f>
        <v/>
      </c>
      <c r="H18" s="7" t="n"/>
      <c r="I18" s="6">
        <f>IF(H18&lt;&gt;"",H18,IF(G18="agree",E18,""))</f>
        <v/>
      </c>
    </row>
    <row r="19">
      <c r="A19" s="6" t="inlineStr">
        <is>
          <t>L01</t>
        </is>
      </c>
      <c r="B19" s="6" t="inlineStr">
        <is>
          <t>near-duplicate</t>
        </is>
      </c>
      <c r="C19" s="6" t="inlineStr">
        <is>
          <t>Risk — Adoption</t>
        </is>
      </c>
      <c r="D19" s="6" t="inlineStr"/>
      <c r="E19" s="6">
        <f>IFERROR(INDEX('Annotator A'!$T$5:$T$44,MATCH($A19,'Annotator A'!$A$5:$A$44,0))&amp;"","")</f>
        <v/>
      </c>
      <c r="F19" s="6">
        <f>IFERROR(INDEX('Annotator B'!$T$5:$T$44,MATCH($A19,'Annotator B'!$A$5:$A$44,0))&amp;"","")</f>
        <v/>
      </c>
      <c r="G19" s="6">
        <f>IF(AND(E19="",F19=""),"",IF(E19=F19,"agree","DIFFER"))</f>
        <v/>
      </c>
      <c r="H19" s="7" t="n"/>
      <c r="I19" s="6">
        <f>IF(H19&lt;&gt;"",H19,IF(G19="agree",E19,""))</f>
        <v/>
      </c>
    </row>
    <row r="20">
      <c r="A20" s="6" t="inlineStr">
        <is>
          <t>L01</t>
        </is>
      </c>
      <c r="B20" s="6" t="inlineStr">
        <is>
          <t>near-duplicate</t>
        </is>
      </c>
      <c r="C20" s="6" t="inlineStr">
        <is>
          <t>Risk — Data</t>
        </is>
      </c>
      <c r="D20" s="6" t="inlineStr"/>
      <c r="E20" s="6">
        <f>IFERROR(INDEX('Annotator A'!$U$5:$U$44,MATCH($A20,'Annotator A'!$A$5:$A$44,0))&amp;"","")</f>
        <v/>
      </c>
      <c r="F20" s="6">
        <f>IFERROR(INDEX('Annotator B'!$U$5:$U$44,MATCH($A20,'Annotator B'!$A$5:$A$44,0))&amp;"","")</f>
        <v/>
      </c>
      <c r="G20" s="6">
        <f>IF(AND(E20="",F20=""),"",IF(E20=F20,"agree","DIFFER"))</f>
        <v/>
      </c>
      <c r="H20" s="7" t="n"/>
      <c r="I20" s="6">
        <f>IF(H20&lt;&gt;"",H20,IF(G20="agree",E20,""))</f>
        <v/>
      </c>
    </row>
    <row r="21">
      <c r="A21" s="6" t="inlineStr">
        <is>
          <t>L01</t>
        </is>
      </c>
      <c r="B21" s="6" t="inlineStr">
        <is>
          <t>near-duplicate</t>
        </is>
      </c>
      <c r="C21" s="6" t="inlineStr">
        <is>
          <t>Risk — Vendor</t>
        </is>
      </c>
      <c r="D21" s="6" t="inlineStr"/>
      <c r="E21" s="6">
        <f>IFERROR(INDEX('Annotator A'!$V$5:$V$44,MATCH($A21,'Annotator A'!$A$5:$A$44,0))&amp;"","")</f>
        <v/>
      </c>
      <c r="F21" s="6">
        <f>IFERROR(INDEX('Annotator B'!$V$5:$V$44,MATCH($A21,'Annotator B'!$A$5:$A$44,0))&amp;"","")</f>
        <v/>
      </c>
      <c r="G21" s="6">
        <f>IF(AND(E21="",F21=""),"",IF(E21=F21,"agree","DIFFER"))</f>
        <v/>
      </c>
      <c r="H21" s="7" t="n"/>
      <c r="I21" s="6">
        <f>IF(H21&lt;&gt;"",H21,IF(G21="agree",E21,""))</f>
        <v/>
      </c>
    </row>
    <row r="22">
      <c r="A22" s="6" t="inlineStr">
        <is>
          <t>L02</t>
        </is>
      </c>
      <c r="B22" s="6" t="inlineStr">
        <is>
          <t>infeasible</t>
        </is>
      </c>
      <c r="C22" s="6" t="inlineStr">
        <is>
          <t>Use cases</t>
        </is>
      </c>
      <c r="D22" s="6" t="inlineStr"/>
      <c r="E22" s="6">
        <f>IFERROR(INDEX('Annotator A'!$C$5:$C$44,MATCH($A22,'Annotator A'!$A$5:$A$44,0))&amp;"","")</f>
        <v/>
      </c>
      <c r="F22" s="6">
        <f>IFERROR(INDEX('Annotator B'!$C$5:$C$44,MATCH($A22,'Annotator B'!$A$5:$A$44,0))&amp;"","")</f>
        <v/>
      </c>
      <c r="G22" s="6" t="inlineStr">
        <is>
          <t>read both</t>
        </is>
      </c>
      <c r="H22" s="7" t="n"/>
      <c r="I22" s="6">
        <f>IF(H22&lt;&gt;"",H22,"")</f>
        <v/>
      </c>
    </row>
    <row r="23">
      <c r="A23" s="6" t="inlineStr">
        <is>
          <t>L02</t>
        </is>
      </c>
      <c r="B23" s="6" t="inlineStr">
        <is>
          <t>infeasible</t>
        </is>
      </c>
      <c r="C23" s="6" t="inlineStr">
        <is>
          <t>Value — Business impact</t>
        </is>
      </c>
      <c r="D23" s="6" t="inlineStr"/>
      <c r="E23" s="6">
        <f>IFERROR(INDEX('Annotator A'!$D$5:$D$44,MATCH($A23,'Annotator A'!$A$5:$A$44,0))&amp;"","")</f>
        <v/>
      </c>
      <c r="F23" s="6">
        <f>IFERROR(INDEX('Annotator B'!$D$5:$D$44,MATCH($A23,'Annotator B'!$A$5:$A$44,0))&amp;"","")</f>
        <v/>
      </c>
      <c r="G23" s="6">
        <f>IF(AND(E23="",F23=""),"",IF(E23=F23,"agree","DIFFER"))</f>
        <v/>
      </c>
      <c r="H23" s="7" t="n"/>
      <c r="I23" s="6">
        <f>IF(H23&lt;&gt;"",H23,IF(G23="agree",E23,""))</f>
        <v/>
      </c>
    </row>
    <row r="24">
      <c r="A24" s="6" t="inlineStr">
        <is>
          <t>L02</t>
        </is>
      </c>
      <c r="B24" s="6" t="inlineStr">
        <is>
          <t>infeasible</t>
        </is>
      </c>
      <c r="C24" s="6" t="inlineStr">
        <is>
          <t>Value — Productivity</t>
        </is>
      </c>
      <c r="D24" s="6" t="inlineStr"/>
      <c r="E24" s="6">
        <f>IFERROR(INDEX('Annotator A'!$E$5:$E$44,MATCH($A24,'Annotator A'!$A$5:$A$44,0))&amp;"","")</f>
        <v/>
      </c>
      <c r="F24" s="6">
        <f>IFERROR(INDEX('Annotator B'!$E$5:$E$44,MATCH($A24,'Annotator B'!$A$5:$A$44,0))&amp;"","")</f>
        <v/>
      </c>
      <c r="G24" s="6">
        <f>IF(AND(E24="",F24=""),"",IF(E24=F24,"agree","DIFFER"))</f>
        <v/>
      </c>
      <c r="H24" s="7" t="n"/>
      <c r="I24" s="6">
        <f>IF(H24&lt;&gt;"",H24,IF(G24="agree",E24,""))</f>
        <v/>
      </c>
    </row>
    <row r="25">
      <c r="A25" s="6" t="inlineStr">
        <is>
          <t>L02</t>
        </is>
      </c>
      <c r="B25" s="6" t="inlineStr">
        <is>
          <t>infeasible</t>
        </is>
      </c>
      <c r="C25" s="6" t="inlineStr">
        <is>
          <t>Value — Cost reduction</t>
        </is>
      </c>
      <c r="D25" s="6" t="inlineStr"/>
      <c r="E25" s="6">
        <f>IFERROR(INDEX('Annotator A'!$F$5:$F$44,MATCH($A25,'Annotator A'!$A$5:$A$44,0))&amp;"","")</f>
        <v/>
      </c>
      <c r="F25" s="6">
        <f>IFERROR(INDEX('Annotator B'!$F$5:$F$44,MATCH($A25,'Annotator B'!$A$5:$A$44,0))&amp;"","")</f>
        <v/>
      </c>
      <c r="G25" s="6">
        <f>IF(AND(E25="",F25=""),"",IF(E25=F25,"agree","DIFFER"))</f>
        <v/>
      </c>
      <c r="H25" s="7" t="n"/>
      <c r="I25" s="6">
        <f>IF(H25&lt;&gt;"",H25,IF(G25="agree",E25,""))</f>
        <v/>
      </c>
    </row>
    <row r="26">
      <c r="A26" s="6" t="inlineStr">
        <is>
          <t>L02</t>
        </is>
      </c>
      <c r="B26" s="6" t="inlineStr">
        <is>
          <t>infeasible</t>
        </is>
      </c>
      <c r="C26" s="6" t="inlineStr">
        <is>
          <t>Value — Revenue</t>
        </is>
      </c>
      <c r="D26" s="6" t="inlineStr"/>
      <c r="E26" s="6">
        <f>IFERROR(INDEX('Annotator A'!$G$5:$G$44,MATCH($A26,'Annotator A'!$A$5:$A$44,0))&amp;"","")</f>
        <v/>
      </c>
      <c r="F26" s="6">
        <f>IFERROR(INDEX('Annotator B'!$G$5:$G$44,MATCH($A26,'Annotator B'!$A$5:$A$44,0))&amp;"","")</f>
        <v/>
      </c>
      <c r="G26" s="6">
        <f>IF(AND(E26="",F26=""),"",IF(E26=F26,"agree","DIFFER"))</f>
        <v/>
      </c>
      <c r="H26" s="7" t="n"/>
      <c r="I26" s="6">
        <f>IF(H26&lt;&gt;"",H26,IF(G26="agree",E26,""))</f>
        <v/>
      </c>
    </row>
    <row r="27">
      <c r="A27" s="6" t="inlineStr">
        <is>
          <t>L02</t>
        </is>
      </c>
      <c r="B27" s="6" t="inlineStr">
        <is>
          <t>infeasible</t>
        </is>
      </c>
      <c r="C27" s="6" t="inlineStr">
        <is>
          <t>Value — Employee experience</t>
        </is>
      </c>
      <c r="D27" s="6" t="inlineStr"/>
      <c r="E27" s="6">
        <f>IFERROR(INDEX('Annotator A'!$H$5:$H$44,MATCH($A27,'Annotator A'!$A$5:$A$44,0))&amp;"","")</f>
        <v/>
      </c>
      <c r="F27" s="6">
        <f>IFERROR(INDEX('Annotator B'!$H$5:$H$44,MATCH($A27,'Annotator B'!$A$5:$A$44,0))&amp;"","")</f>
        <v/>
      </c>
      <c r="G27" s="6">
        <f>IF(AND(E27="",F27=""),"",IF(E27=F27,"agree","DIFFER"))</f>
        <v/>
      </c>
      <c r="H27" s="7" t="n"/>
      <c r="I27" s="6">
        <f>IF(H27&lt;&gt;"",H27,IF(G27="agree",E27,""))</f>
        <v/>
      </c>
    </row>
    <row r="28">
      <c r="A28" s="6" t="inlineStr">
        <is>
          <t>L02</t>
        </is>
      </c>
      <c r="B28" s="6" t="inlineStr">
        <is>
          <t>infeasible</t>
        </is>
      </c>
      <c r="C28" s="6" t="inlineStr">
        <is>
          <t>Value — Customer impact</t>
        </is>
      </c>
      <c r="D28" s="6" t="inlineStr"/>
      <c r="E28" s="6">
        <f>IFERROR(INDEX('Annotator A'!$I$5:$I$44,MATCH($A28,'Annotator A'!$A$5:$A$44,0))&amp;"","")</f>
        <v/>
      </c>
      <c r="F28" s="6">
        <f>IFERROR(INDEX('Annotator B'!$I$5:$I$44,MATCH($A28,'Annotator B'!$A$5:$A$44,0))&amp;"","")</f>
        <v/>
      </c>
      <c r="G28" s="6">
        <f>IF(AND(E28="",F28=""),"",IF(E28=F28,"agree","DIFFER"))</f>
        <v/>
      </c>
      <c r="H28" s="7" t="n"/>
      <c r="I28" s="6">
        <f>IF(H28&lt;&gt;"",H28,IF(G28="agree",E28,""))</f>
        <v/>
      </c>
    </row>
    <row r="29">
      <c r="A29" s="6" t="inlineStr">
        <is>
          <t>L02</t>
        </is>
      </c>
      <c r="B29" s="6" t="inlineStr">
        <is>
          <t>infeasible</t>
        </is>
      </c>
      <c r="C29" s="6" t="inlineStr">
        <is>
          <t>Value — Operational</t>
        </is>
      </c>
      <c r="D29" s="6" t="inlineStr"/>
      <c r="E29" s="6">
        <f>IFERROR(INDEX('Annotator A'!$J$5:$J$44,MATCH($A29,'Annotator A'!$A$5:$A$44,0))&amp;"","")</f>
        <v/>
      </c>
      <c r="F29" s="6">
        <f>IFERROR(INDEX('Annotator B'!$J$5:$J$44,MATCH($A29,'Annotator B'!$A$5:$A$44,0))&amp;"","")</f>
        <v/>
      </c>
      <c r="G29" s="6">
        <f>IF(AND(E29="",F29=""),"",IF(E29=F29,"agree","DIFFER"))</f>
        <v/>
      </c>
      <c r="H29" s="7" t="n"/>
      <c r="I29" s="6">
        <f>IF(H29&lt;&gt;"",H29,IF(G29="agree",E29,""))</f>
        <v/>
      </c>
    </row>
    <row r="30">
      <c r="A30" s="6" t="inlineStr">
        <is>
          <t>L02</t>
        </is>
      </c>
      <c r="B30" s="6" t="inlineStr">
        <is>
          <t>infeasible</t>
        </is>
      </c>
      <c r="C30" s="6" t="inlineStr">
        <is>
          <t>Value — Problem severity</t>
        </is>
      </c>
      <c r="D30" s="6" t="inlineStr"/>
      <c r="E30" s="6">
        <f>IFERROR(INDEX('Annotator A'!$K$5:$K$44,MATCH($A30,'Annotator A'!$A$5:$A$44,0))&amp;"","")</f>
        <v/>
      </c>
      <c r="F30" s="6">
        <f>IFERROR(INDEX('Annotator B'!$K$5:$K$44,MATCH($A30,'Annotator B'!$A$5:$A$44,0))&amp;"","")</f>
        <v/>
      </c>
      <c r="G30" s="6">
        <f>IF(AND(E30="",F30=""),"",IF(E30=F30,"agree","DIFFER"))</f>
        <v/>
      </c>
      <c r="H30" s="7" t="n"/>
      <c r="I30" s="6">
        <f>IF(H30&lt;&gt;"",H30,IF(G30="agree",E30,""))</f>
        <v/>
      </c>
    </row>
    <row r="31">
      <c r="A31" s="6" t="inlineStr">
        <is>
          <t>L02</t>
        </is>
      </c>
      <c r="B31" s="6" t="inlineStr">
        <is>
          <t>infeasible</t>
        </is>
      </c>
      <c r="C31" s="6" t="inlineStr">
        <is>
          <t>Value — Problem frequency</t>
        </is>
      </c>
      <c r="D31" s="6" t="inlineStr"/>
      <c r="E31" s="6">
        <f>IFERROR(INDEX('Annotator A'!$L$5:$L$44,MATCH($A31,'Annotator A'!$A$5:$A$44,0))&amp;"","")</f>
        <v/>
      </c>
      <c r="F31" s="6">
        <f>IFERROR(INDEX('Annotator B'!$L$5:$L$44,MATCH($A31,'Annotator B'!$A$5:$A$44,0))&amp;"","")</f>
        <v/>
      </c>
      <c r="G31" s="6">
        <f>IF(AND(E31="",F31=""),"",IF(E31=F31,"agree","DIFFER"))</f>
        <v/>
      </c>
      <c r="H31" s="7" t="n"/>
      <c r="I31" s="6">
        <f>IF(H31&lt;&gt;"",H31,IF(G31="agree",E31,""))</f>
        <v/>
      </c>
    </row>
    <row r="32">
      <c r="A32" s="6" t="inlineStr">
        <is>
          <t>L02</t>
        </is>
      </c>
      <c r="B32" s="6" t="inlineStr">
        <is>
          <t>infeasible</t>
        </is>
      </c>
      <c r="C32" s="6" t="inlineStr">
        <is>
          <t>Feasibility status</t>
        </is>
      </c>
      <c r="D32" s="6" t="inlineStr">
        <is>
          <t>NOT_CURRENTLY_FEASIBLE</t>
        </is>
      </c>
      <c r="E32" s="6">
        <f>IFERROR(INDEX('Annotator A'!$M$5:$M$44,MATCH($A32,'Annotator A'!$A$5:$A$44,0))&amp;"","")</f>
        <v/>
      </c>
      <c r="F32" s="6">
        <f>IFERROR(INDEX('Annotator B'!$M$5:$M$44,MATCH($A32,'Annotator B'!$A$5:$A$44,0))&amp;"","")</f>
        <v/>
      </c>
      <c r="G32" s="6">
        <f>IF(AND(E32="",F32=""),"",IF(E32=F32,"agree","DIFFER"))</f>
        <v/>
      </c>
      <c r="H32" s="7" t="n"/>
      <c r="I32" s="6">
        <f>IF(H32&lt;&gt;"",H32,IF(G32="agree",E32,""))</f>
        <v/>
      </c>
    </row>
    <row r="33">
      <c r="A33" s="6" t="inlineStr">
        <is>
          <t>L02</t>
        </is>
      </c>
      <c r="B33" s="6" t="inlineStr">
        <is>
          <t>infeasible</t>
        </is>
      </c>
      <c r="C33" s="6" t="inlineStr">
        <is>
          <t>Risk — Technical</t>
        </is>
      </c>
      <c r="D33" s="6" t="inlineStr"/>
      <c r="E33" s="6">
        <f>IFERROR(INDEX('Annotator A'!$N$5:$N$44,MATCH($A33,'Annotator A'!$A$5:$A$44,0))&amp;"","")</f>
        <v/>
      </c>
      <c r="F33" s="6">
        <f>IFERROR(INDEX('Annotator B'!$N$5:$N$44,MATCH($A33,'Annotator B'!$A$5:$A$44,0))&amp;"","")</f>
        <v/>
      </c>
      <c r="G33" s="6">
        <f>IF(AND(E33="",F33=""),"",IF(E33=F33,"agree","DIFFER"))</f>
        <v/>
      </c>
      <c r="H33" s="7" t="n"/>
      <c r="I33" s="6">
        <f>IF(H33&lt;&gt;"",H33,IF(G33="agree",E33,""))</f>
        <v/>
      </c>
    </row>
    <row r="34">
      <c r="A34" s="6" t="inlineStr">
        <is>
          <t>L02</t>
        </is>
      </c>
      <c r="B34" s="6" t="inlineStr">
        <is>
          <t>infeasible</t>
        </is>
      </c>
      <c r="C34" s="6" t="inlineStr">
        <is>
          <t>Risk — Security</t>
        </is>
      </c>
      <c r="D34" s="6" t="inlineStr"/>
      <c r="E34" s="6">
        <f>IFERROR(INDEX('Annotator A'!$O$5:$O$44,MATCH($A34,'Annotator A'!$A$5:$A$44,0))&amp;"","")</f>
        <v/>
      </c>
      <c r="F34" s="6">
        <f>IFERROR(INDEX('Annotator B'!$O$5:$O$44,MATCH($A34,'Annotator B'!$A$5:$A$44,0))&amp;"","")</f>
        <v/>
      </c>
      <c r="G34" s="6">
        <f>IF(AND(E34="",F34=""),"",IF(E34=F34,"agree","DIFFER"))</f>
        <v/>
      </c>
      <c r="H34" s="7" t="n"/>
      <c r="I34" s="6">
        <f>IF(H34&lt;&gt;"",H34,IF(G34="agree",E34,""))</f>
        <v/>
      </c>
    </row>
    <row r="35">
      <c r="A35" s="6" t="inlineStr">
        <is>
          <t>L02</t>
        </is>
      </c>
      <c r="B35" s="6" t="inlineStr">
        <is>
          <t>infeasible</t>
        </is>
      </c>
      <c r="C35" s="6" t="inlineStr">
        <is>
          <t>Risk — Privacy</t>
        </is>
      </c>
      <c r="D35" s="6" t="inlineStr"/>
      <c r="E35" s="6">
        <f>IFERROR(INDEX('Annotator A'!$P$5:$P$44,MATCH($A35,'Annotator A'!$A$5:$A$44,0))&amp;"","")</f>
        <v/>
      </c>
      <c r="F35" s="6">
        <f>IFERROR(INDEX('Annotator B'!$P$5:$P$44,MATCH($A35,'Annotator B'!$A$5:$A$44,0))&amp;"","")</f>
        <v/>
      </c>
      <c r="G35" s="6">
        <f>IF(AND(E35="",F35=""),"",IF(E35=F35,"agree","DIFFER"))</f>
        <v/>
      </c>
      <c r="H35" s="7" t="n"/>
      <c r="I35" s="6">
        <f>IF(H35&lt;&gt;"",H35,IF(G35="agree",E35,""))</f>
        <v/>
      </c>
    </row>
    <row r="36">
      <c r="A36" s="6" t="inlineStr">
        <is>
          <t>L02</t>
        </is>
      </c>
      <c r="B36" s="6" t="inlineStr">
        <is>
          <t>infeasible</t>
        </is>
      </c>
      <c r="C36" s="6" t="inlineStr">
        <is>
          <t>Risk — Compliance</t>
        </is>
      </c>
      <c r="D36" s="6" t="inlineStr">
        <is>
          <t>Yes</t>
        </is>
      </c>
      <c r="E36" s="6">
        <f>IFERROR(INDEX('Annotator A'!$Q$5:$Q$44,MATCH($A36,'Annotator A'!$A$5:$A$44,0))&amp;"","")</f>
        <v/>
      </c>
      <c r="F36" s="6">
        <f>IFERROR(INDEX('Annotator B'!$Q$5:$Q$44,MATCH($A36,'Annotator B'!$A$5:$A$44,0))&amp;"","")</f>
        <v/>
      </c>
      <c r="G36" s="6">
        <f>IF(AND(E36="",F36=""),"",IF(E36=F36,"agree","DIFFER"))</f>
        <v/>
      </c>
      <c r="H36" s="7" t="n"/>
      <c r="I36" s="6">
        <f>IF(H36&lt;&gt;"",H36,IF(G36="agree",E36,""))</f>
        <v/>
      </c>
    </row>
    <row r="37">
      <c r="A37" s="6" t="inlineStr">
        <is>
          <t>L02</t>
        </is>
      </c>
      <c r="B37" s="6" t="inlineStr">
        <is>
          <t>infeasible</t>
        </is>
      </c>
      <c r="C37" s="6" t="inlineStr">
        <is>
          <t>Risk — Financial</t>
        </is>
      </c>
      <c r="D37" s="6" t="inlineStr">
        <is>
          <t>Yes</t>
        </is>
      </c>
      <c r="E37" s="6">
        <f>IFERROR(INDEX('Annotator A'!$R$5:$R$44,MATCH($A37,'Annotator A'!$A$5:$A$44,0))&amp;"","")</f>
        <v/>
      </c>
      <c r="F37" s="6">
        <f>IFERROR(INDEX('Annotator B'!$R$5:$R$44,MATCH($A37,'Annotator B'!$A$5:$A$44,0))&amp;"","")</f>
        <v/>
      </c>
      <c r="G37" s="6">
        <f>IF(AND(E37="",F37=""),"",IF(E37=F37,"agree","DIFFER"))</f>
        <v/>
      </c>
      <c r="H37" s="7" t="n"/>
      <c r="I37" s="6">
        <f>IF(H37&lt;&gt;"",H37,IF(G37="agree",E37,""))</f>
        <v/>
      </c>
    </row>
    <row r="38">
      <c r="A38" s="6" t="inlineStr">
        <is>
          <t>L02</t>
        </is>
      </c>
      <c r="B38" s="6" t="inlineStr">
        <is>
          <t>infeasible</t>
        </is>
      </c>
      <c r="C38" s="6" t="inlineStr">
        <is>
          <t>Risk — Operational</t>
        </is>
      </c>
      <c r="D38" s="6" t="inlineStr"/>
      <c r="E38" s="6">
        <f>IFERROR(INDEX('Annotator A'!$S$5:$S$44,MATCH($A38,'Annotator A'!$A$5:$A$44,0))&amp;"","")</f>
        <v/>
      </c>
      <c r="F38" s="6">
        <f>IFERROR(INDEX('Annotator B'!$S$5:$S$44,MATCH($A38,'Annotator B'!$A$5:$A$44,0))&amp;"","")</f>
        <v/>
      </c>
      <c r="G38" s="6">
        <f>IF(AND(E38="",F38=""),"",IF(E38=F38,"agree","DIFFER"))</f>
        <v/>
      </c>
      <c r="H38" s="7" t="n"/>
      <c r="I38" s="6">
        <f>IF(H38&lt;&gt;"",H38,IF(G38="agree",E38,""))</f>
        <v/>
      </c>
    </row>
    <row r="39">
      <c r="A39" s="6" t="inlineStr">
        <is>
          <t>L02</t>
        </is>
      </c>
      <c r="B39" s="6" t="inlineStr">
        <is>
          <t>infeasible</t>
        </is>
      </c>
      <c r="C39" s="6" t="inlineStr">
        <is>
          <t>Risk — Adoption</t>
        </is>
      </c>
      <c r="D39" s="6" t="inlineStr"/>
      <c r="E39" s="6">
        <f>IFERROR(INDEX('Annotator A'!$T$5:$T$44,MATCH($A39,'Annotator A'!$A$5:$A$44,0))&amp;"","")</f>
        <v/>
      </c>
      <c r="F39" s="6">
        <f>IFERROR(INDEX('Annotator B'!$T$5:$T$44,MATCH($A39,'Annotator B'!$A$5:$A$44,0))&amp;"","")</f>
        <v/>
      </c>
      <c r="G39" s="6">
        <f>IF(AND(E39="",F39=""),"",IF(E39=F39,"agree","DIFFER"))</f>
        <v/>
      </c>
      <c r="H39" s="7" t="n"/>
      <c r="I39" s="6">
        <f>IF(H39&lt;&gt;"",H39,IF(G39="agree",E39,""))</f>
        <v/>
      </c>
    </row>
    <row r="40">
      <c r="A40" s="6" t="inlineStr">
        <is>
          <t>L02</t>
        </is>
      </c>
      <c r="B40" s="6" t="inlineStr">
        <is>
          <t>infeasible</t>
        </is>
      </c>
      <c r="C40" s="6" t="inlineStr">
        <is>
          <t>Risk — Data</t>
        </is>
      </c>
      <c r="D40" s="6" t="inlineStr"/>
      <c r="E40" s="6">
        <f>IFERROR(INDEX('Annotator A'!$U$5:$U$44,MATCH($A40,'Annotator A'!$A$5:$A$44,0))&amp;"","")</f>
        <v/>
      </c>
      <c r="F40" s="6">
        <f>IFERROR(INDEX('Annotator B'!$U$5:$U$44,MATCH($A40,'Annotator B'!$A$5:$A$44,0))&amp;"","")</f>
        <v/>
      </c>
      <c r="G40" s="6">
        <f>IF(AND(E40="",F40=""),"",IF(E40=F40,"agree","DIFFER"))</f>
        <v/>
      </c>
      <c r="H40" s="7" t="n"/>
      <c r="I40" s="6">
        <f>IF(H40&lt;&gt;"",H40,IF(G40="agree",E40,""))</f>
        <v/>
      </c>
    </row>
    <row r="41">
      <c r="A41" s="6" t="inlineStr">
        <is>
          <t>L02</t>
        </is>
      </c>
      <c r="B41" s="6" t="inlineStr">
        <is>
          <t>infeasible</t>
        </is>
      </c>
      <c r="C41" s="6" t="inlineStr">
        <is>
          <t>Risk — Vendor</t>
        </is>
      </c>
      <c r="D41" s="6" t="inlineStr"/>
      <c r="E41" s="6">
        <f>IFERROR(INDEX('Annotator A'!$V$5:$V$44,MATCH($A41,'Annotator A'!$A$5:$A$44,0))&amp;"","")</f>
        <v/>
      </c>
      <c r="F41" s="6">
        <f>IFERROR(INDEX('Annotator B'!$V$5:$V$44,MATCH($A41,'Annotator B'!$A$5:$A$44,0))&amp;"","")</f>
        <v/>
      </c>
      <c r="G41" s="6">
        <f>IF(AND(E41="",F41=""),"",IF(E41=F41,"agree","DIFFER"))</f>
        <v/>
      </c>
      <c r="H41" s="7" t="n"/>
      <c r="I41" s="6">
        <f>IF(H41&lt;&gt;"",H41,IF(G41="agree",E41,""))</f>
        <v/>
      </c>
    </row>
    <row r="42">
      <c r="A42" s="6" t="inlineStr">
        <is>
          <t>L03</t>
        </is>
      </c>
      <c r="B42" s="6" t="inlineStr">
        <is>
          <t>vague</t>
        </is>
      </c>
      <c r="C42" s="6" t="inlineStr">
        <is>
          <t>Use cases</t>
        </is>
      </c>
      <c r="D42" s="6" t="inlineStr"/>
      <c r="E42" s="6">
        <f>IFERROR(INDEX('Annotator A'!$C$5:$C$44,MATCH($A42,'Annotator A'!$A$5:$A$44,0))&amp;"","")</f>
        <v/>
      </c>
      <c r="F42" s="6">
        <f>IFERROR(INDEX('Annotator B'!$C$5:$C$44,MATCH($A42,'Annotator B'!$A$5:$A$44,0))&amp;"","")</f>
        <v/>
      </c>
      <c r="G42" s="6" t="inlineStr">
        <is>
          <t>read both</t>
        </is>
      </c>
      <c r="H42" s="7" t="n"/>
      <c r="I42" s="6">
        <f>IF(H42&lt;&gt;"",H42,"")</f>
        <v/>
      </c>
    </row>
    <row r="43">
      <c r="A43" s="6" t="inlineStr">
        <is>
          <t>L03</t>
        </is>
      </c>
      <c r="B43" s="6" t="inlineStr">
        <is>
          <t>vague</t>
        </is>
      </c>
      <c r="C43" s="6" t="inlineStr">
        <is>
          <t>Value — Business impact</t>
        </is>
      </c>
      <c r="D43" s="6" t="inlineStr"/>
      <c r="E43" s="6">
        <f>IFERROR(INDEX('Annotator A'!$D$5:$D$44,MATCH($A43,'Annotator A'!$A$5:$A$44,0))&amp;"","")</f>
        <v/>
      </c>
      <c r="F43" s="6">
        <f>IFERROR(INDEX('Annotator B'!$D$5:$D$44,MATCH($A43,'Annotator B'!$A$5:$A$44,0))&amp;"","")</f>
        <v/>
      </c>
      <c r="G43" s="6">
        <f>IF(AND(E43="",F43=""),"",IF(E43=F43,"agree","DIFFER"))</f>
        <v/>
      </c>
      <c r="H43" s="7" t="n"/>
      <c r="I43" s="6">
        <f>IF(H43&lt;&gt;"",H43,IF(G43="agree",E43,""))</f>
        <v/>
      </c>
    </row>
    <row r="44">
      <c r="A44" s="6" t="inlineStr">
        <is>
          <t>L03</t>
        </is>
      </c>
      <c r="B44" s="6" t="inlineStr">
        <is>
          <t>vague</t>
        </is>
      </c>
      <c r="C44" s="6" t="inlineStr">
        <is>
          <t>Value — Productivity</t>
        </is>
      </c>
      <c r="D44" s="6" t="inlineStr"/>
      <c r="E44" s="6">
        <f>IFERROR(INDEX('Annotator A'!$E$5:$E$44,MATCH($A44,'Annotator A'!$A$5:$A$44,0))&amp;"","")</f>
        <v/>
      </c>
      <c r="F44" s="6">
        <f>IFERROR(INDEX('Annotator B'!$E$5:$E$44,MATCH($A44,'Annotator B'!$A$5:$A$44,0))&amp;"","")</f>
        <v/>
      </c>
      <c r="G44" s="6">
        <f>IF(AND(E44="",F44=""),"",IF(E44=F44,"agree","DIFFER"))</f>
        <v/>
      </c>
      <c r="H44" s="7" t="n"/>
      <c r="I44" s="6">
        <f>IF(H44&lt;&gt;"",H44,IF(G44="agree",E44,""))</f>
        <v/>
      </c>
    </row>
    <row r="45">
      <c r="A45" s="6" t="inlineStr">
        <is>
          <t>L03</t>
        </is>
      </c>
      <c r="B45" s="6" t="inlineStr">
        <is>
          <t>vague</t>
        </is>
      </c>
      <c r="C45" s="6" t="inlineStr">
        <is>
          <t>Value — Cost reduction</t>
        </is>
      </c>
      <c r="D45" s="6" t="inlineStr"/>
      <c r="E45" s="6">
        <f>IFERROR(INDEX('Annotator A'!$F$5:$F$44,MATCH($A45,'Annotator A'!$A$5:$A$44,0))&amp;"","")</f>
        <v/>
      </c>
      <c r="F45" s="6">
        <f>IFERROR(INDEX('Annotator B'!$F$5:$F$44,MATCH($A45,'Annotator B'!$A$5:$A$44,0))&amp;"","")</f>
        <v/>
      </c>
      <c r="G45" s="6">
        <f>IF(AND(E45="",F45=""),"",IF(E45=F45,"agree","DIFFER"))</f>
        <v/>
      </c>
      <c r="H45" s="7" t="n"/>
      <c r="I45" s="6">
        <f>IF(H45&lt;&gt;"",H45,IF(G45="agree",E45,""))</f>
        <v/>
      </c>
    </row>
    <row r="46">
      <c r="A46" s="6" t="inlineStr">
        <is>
          <t>L03</t>
        </is>
      </c>
      <c r="B46" s="6" t="inlineStr">
        <is>
          <t>vague</t>
        </is>
      </c>
      <c r="C46" s="6" t="inlineStr">
        <is>
          <t>Value — Revenue</t>
        </is>
      </c>
      <c r="D46" s="6" t="inlineStr"/>
      <c r="E46" s="6">
        <f>IFERROR(INDEX('Annotator A'!$G$5:$G$44,MATCH($A46,'Annotator A'!$A$5:$A$44,0))&amp;"","")</f>
        <v/>
      </c>
      <c r="F46" s="6">
        <f>IFERROR(INDEX('Annotator B'!$G$5:$G$44,MATCH($A46,'Annotator B'!$A$5:$A$44,0))&amp;"","")</f>
        <v/>
      </c>
      <c r="G46" s="6">
        <f>IF(AND(E46="",F46=""),"",IF(E46=F46,"agree","DIFFER"))</f>
        <v/>
      </c>
      <c r="H46" s="7" t="n"/>
      <c r="I46" s="6">
        <f>IF(H46&lt;&gt;"",H46,IF(G46="agree",E46,""))</f>
        <v/>
      </c>
    </row>
    <row r="47">
      <c r="A47" s="6" t="inlineStr">
        <is>
          <t>L03</t>
        </is>
      </c>
      <c r="B47" s="6" t="inlineStr">
        <is>
          <t>vague</t>
        </is>
      </c>
      <c r="C47" s="6" t="inlineStr">
        <is>
          <t>Value — Employee experience</t>
        </is>
      </c>
      <c r="D47" s="6" t="inlineStr"/>
      <c r="E47" s="6">
        <f>IFERROR(INDEX('Annotator A'!$H$5:$H$44,MATCH($A47,'Annotator A'!$A$5:$A$44,0))&amp;"","")</f>
        <v/>
      </c>
      <c r="F47" s="6">
        <f>IFERROR(INDEX('Annotator B'!$H$5:$H$44,MATCH($A47,'Annotator B'!$A$5:$A$44,0))&amp;"","")</f>
        <v/>
      </c>
      <c r="G47" s="6">
        <f>IF(AND(E47="",F47=""),"",IF(E47=F47,"agree","DIFFER"))</f>
        <v/>
      </c>
      <c r="H47" s="7" t="n"/>
      <c r="I47" s="6">
        <f>IF(H47&lt;&gt;"",H47,IF(G47="agree",E47,""))</f>
        <v/>
      </c>
    </row>
    <row r="48">
      <c r="A48" s="6" t="inlineStr">
        <is>
          <t>L03</t>
        </is>
      </c>
      <c r="B48" s="6" t="inlineStr">
        <is>
          <t>vague</t>
        </is>
      </c>
      <c r="C48" s="6" t="inlineStr">
        <is>
          <t>Value — Customer impact</t>
        </is>
      </c>
      <c r="D48" s="6" t="inlineStr"/>
      <c r="E48" s="6">
        <f>IFERROR(INDEX('Annotator A'!$I$5:$I$44,MATCH($A48,'Annotator A'!$A$5:$A$44,0))&amp;"","")</f>
        <v/>
      </c>
      <c r="F48" s="6">
        <f>IFERROR(INDEX('Annotator B'!$I$5:$I$44,MATCH($A48,'Annotator B'!$A$5:$A$44,0))&amp;"","")</f>
        <v/>
      </c>
      <c r="G48" s="6">
        <f>IF(AND(E48="",F48=""),"",IF(E48=F48,"agree","DIFFER"))</f>
        <v/>
      </c>
      <c r="H48" s="7" t="n"/>
      <c r="I48" s="6">
        <f>IF(H48&lt;&gt;"",H48,IF(G48="agree",E48,""))</f>
        <v/>
      </c>
    </row>
    <row r="49">
      <c r="A49" s="6" t="inlineStr">
        <is>
          <t>L03</t>
        </is>
      </c>
      <c r="B49" s="6" t="inlineStr">
        <is>
          <t>vague</t>
        </is>
      </c>
      <c r="C49" s="6" t="inlineStr">
        <is>
          <t>Value — Operational</t>
        </is>
      </c>
      <c r="D49" s="6" t="inlineStr"/>
      <c r="E49" s="6">
        <f>IFERROR(INDEX('Annotator A'!$J$5:$J$44,MATCH($A49,'Annotator A'!$A$5:$A$44,0))&amp;"","")</f>
        <v/>
      </c>
      <c r="F49" s="6">
        <f>IFERROR(INDEX('Annotator B'!$J$5:$J$44,MATCH($A49,'Annotator B'!$A$5:$A$44,0))&amp;"","")</f>
        <v/>
      </c>
      <c r="G49" s="6">
        <f>IF(AND(E49="",F49=""),"",IF(E49=F49,"agree","DIFFER"))</f>
        <v/>
      </c>
      <c r="H49" s="7" t="n"/>
      <c r="I49" s="6">
        <f>IF(H49&lt;&gt;"",H49,IF(G49="agree",E49,""))</f>
        <v/>
      </c>
    </row>
    <row r="50">
      <c r="A50" s="6" t="inlineStr">
        <is>
          <t>L03</t>
        </is>
      </c>
      <c r="B50" s="6" t="inlineStr">
        <is>
          <t>vague</t>
        </is>
      </c>
      <c r="C50" s="6" t="inlineStr">
        <is>
          <t>Value — Problem severity</t>
        </is>
      </c>
      <c r="D50" s="6" t="inlineStr"/>
      <c r="E50" s="6">
        <f>IFERROR(INDEX('Annotator A'!$K$5:$K$44,MATCH($A50,'Annotator A'!$A$5:$A$44,0))&amp;"","")</f>
        <v/>
      </c>
      <c r="F50" s="6">
        <f>IFERROR(INDEX('Annotator B'!$K$5:$K$44,MATCH($A50,'Annotator B'!$A$5:$A$44,0))&amp;"","")</f>
        <v/>
      </c>
      <c r="G50" s="6">
        <f>IF(AND(E50="",F50=""),"",IF(E50=F50,"agree","DIFFER"))</f>
        <v/>
      </c>
      <c r="H50" s="7" t="n"/>
      <c r="I50" s="6">
        <f>IF(H50&lt;&gt;"",H50,IF(G50="agree",E50,""))</f>
        <v/>
      </c>
    </row>
    <row r="51">
      <c r="A51" s="6" t="inlineStr">
        <is>
          <t>L03</t>
        </is>
      </c>
      <c r="B51" s="6" t="inlineStr">
        <is>
          <t>vague</t>
        </is>
      </c>
      <c r="C51" s="6" t="inlineStr">
        <is>
          <t>Value — Problem frequency</t>
        </is>
      </c>
      <c r="D51" s="6" t="inlineStr"/>
      <c r="E51" s="6">
        <f>IFERROR(INDEX('Annotator A'!$L$5:$L$44,MATCH($A51,'Annotator A'!$A$5:$A$44,0))&amp;"","")</f>
        <v/>
      </c>
      <c r="F51" s="6">
        <f>IFERROR(INDEX('Annotator B'!$L$5:$L$44,MATCH($A51,'Annotator B'!$A$5:$A$44,0))&amp;"","")</f>
        <v/>
      </c>
      <c r="G51" s="6">
        <f>IF(AND(E51="",F51=""),"",IF(E51=F51,"agree","DIFFER"))</f>
        <v/>
      </c>
      <c r="H51" s="7" t="n"/>
      <c r="I51" s="6">
        <f>IF(H51&lt;&gt;"",H51,IF(G51="agree",E51,""))</f>
        <v/>
      </c>
    </row>
    <row r="52">
      <c r="A52" s="6" t="inlineStr">
        <is>
          <t>L03</t>
        </is>
      </c>
      <c r="B52" s="6" t="inlineStr">
        <is>
          <t>vague</t>
        </is>
      </c>
      <c r="C52" s="6" t="inlineStr">
        <is>
          <t>Feasibility status</t>
        </is>
      </c>
      <c r="D52" s="6" t="inlineStr"/>
      <c r="E52" s="6">
        <f>IFERROR(INDEX('Annotator A'!$M$5:$M$44,MATCH($A52,'Annotator A'!$A$5:$A$44,0))&amp;"","")</f>
        <v/>
      </c>
      <c r="F52" s="6">
        <f>IFERROR(INDEX('Annotator B'!$M$5:$M$44,MATCH($A52,'Annotator B'!$A$5:$A$44,0))&amp;"","")</f>
        <v/>
      </c>
      <c r="G52" s="6">
        <f>IF(AND(E52="",F52=""),"",IF(E52=F52,"agree","DIFFER"))</f>
        <v/>
      </c>
      <c r="H52" s="7" t="n"/>
      <c r="I52" s="6">
        <f>IF(H52&lt;&gt;"",H52,IF(G52="agree",E52,""))</f>
        <v/>
      </c>
    </row>
    <row r="53">
      <c r="A53" s="6" t="inlineStr">
        <is>
          <t>L03</t>
        </is>
      </c>
      <c r="B53" s="6" t="inlineStr">
        <is>
          <t>vague</t>
        </is>
      </c>
      <c r="C53" s="6" t="inlineStr">
        <is>
          <t>Risk — Technical</t>
        </is>
      </c>
      <c r="D53" s="6" t="inlineStr"/>
      <c r="E53" s="6">
        <f>IFERROR(INDEX('Annotator A'!$N$5:$N$44,MATCH($A53,'Annotator A'!$A$5:$A$44,0))&amp;"","")</f>
        <v/>
      </c>
      <c r="F53" s="6">
        <f>IFERROR(INDEX('Annotator B'!$N$5:$N$44,MATCH($A53,'Annotator B'!$A$5:$A$44,0))&amp;"","")</f>
        <v/>
      </c>
      <c r="G53" s="6">
        <f>IF(AND(E53="",F53=""),"",IF(E53=F53,"agree","DIFFER"))</f>
        <v/>
      </c>
      <c r="H53" s="7" t="n"/>
      <c r="I53" s="6">
        <f>IF(H53&lt;&gt;"",H53,IF(G53="agree",E53,""))</f>
        <v/>
      </c>
    </row>
    <row r="54">
      <c r="A54" s="6" t="inlineStr">
        <is>
          <t>L03</t>
        </is>
      </c>
      <c r="B54" s="6" t="inlineStr">
        <is>
          <t>vague</t>
        </is>
      </c>
      <c r="C54" s="6" t="inlineStr">
        <is>
          <t>Risk — Security</t>
        </is>
      </c>
      <c r="D54" s="6" t="inlineStr"/>
      <c r="E54" s="6">
        <f>IFERROR(INDEX('Annotator A'!$O$5:$O$44,MATCH($A54,'Annotator A'!$A$5:$A$44,0))&amp;"","")</f>
        <v/>
      </c>
      <c r="F54" s="6">
        <f>IFERROR(INDEX('Annotator B'!$O$5:$O$44,MATCH($A54,'Annotator B'!$A$5:$A$44,0))&amp;"","")</f>
        <v/>
      </c>
      <c r="G54" s="6">
        <f>IF(AND(E54="",F54=""),"",IF(E54=F54,"agree","DIFFER"))</f>
        <v/>
      </c>
      <c r="H54" s="7" t="n"/>
      <c r="I54" s="6">
        <f>IF(H54&lt;&gt;"",H54,IF(G54="agree",E54,""))</f>
        <v/>
      </c>
    </row>
    <row r="55">
      <c r="A55" s="6" t="inlineStr">
        <is>
          <t>L03</t>
        </is>
      </c>
      <c r="B55" s="6" t="inlineStr">
        <is>
          <t>vague</t>
        </is>
      </c>
      <c r="C55" s="6" t="inlineStr">
        <is>
          <t>Risk — Privacy</t>
        </is>
      </c>
      <c r="D55" s="6" t="inlineStr"/>
      <c r="E55" s="6">
        <f>IFERROR(INDEX('Annotator A'!$P$5:$P$44,MATCH($A55,'Annotator A'!$A$5:$A$44,0))&amp;"","")</f>
        <v/>
      </c>
      <c r="F55" s="6">
        <f>IFERROR(INDEX('Annotator B'!$P$5:$P$44,MATCH($A55,'Annotator B'!$A$5:$A$44,0))&amp;"","")</f>
        <v/>
      </c>
      <c r="G55" s="6">
        <f>IF(AND(E55="",F55=""),"",IF(E55=F55,"agree","DIFFER"))</f>
        <v/>
      </c>
      <c r="H55" s="7" t="n"/>
      <c r="I55" s="6">
        <f>IF(H55&lt;&gt;"",H55,IF(G55="agree",E55,""))</f>
        <v/>
      </c>
    </row>
    <row r="56">
      <c r="A56" s="6" t="inlineStr">
        <is>
          <t>L03</t>
        </is>
      </c>
      <c r="B56" s="6" t="inlineStr">
        <is>
          <t>vague</t>
        </is>
      </c>
      <c r="C56" s="6" t="inlineStr">
        <is>
          <t>Risk — Compliance</t>
        </is>
      </c>
      <c r="D56" s="6" t="inlineStr"/>
      <c r="E56" s="6">
        <f>IFERROR(INDEX('Annotator A'!$Q$5:$Q$44,MATCH($A56,'Annotator A'!$A$5:$A$44,0))&amp;"","")</f>
        <v/>
      </c>
      <c r="F56" s="6">
        <f>IFERROR(INDEX('Annotator B'!$Q$5:$Q$44,MATCH($A56,'Annotator B'!$A$5:$A$44,0))&amp;"","")</f>
        <v/>
      </c>
      <c r="G56" s="6">
        <f>IF(AND(E56="",F56=""),"",IF(E56=F56,"agree","DIFFER"))</f>
        <v/>
      </c>
      <c r="H56" s="7" t="n"/>
      <c r="I56" s="6">
        <f>IF(H56&lt;&gt;"",H56,IF(G56="agree",E56,""))</f>
        <v/>
      </c>
    </row>
    <row r="57">
      <c r="A57" s="6" t="inlineStr">
        <is>
          <t>L03</t>
        </is>
      </c>
      <c r="B57" s="6" t="inlineStr">
        <is>
          <t>vague</t>
        </is>
      </c>
      <c r="C57" s="6" t="inlineStr">
        <is>
          <t>Risk — Financial</t>
        </is>
      </c>
      <c r="D57" s="6" t="inlineStr"/>
      <c r="E57" s="6">
        <f>IFERROR(INDEX('Annotator A'!$R$5:$R$44,MATCH($A57,'Annotator A'!$A$5:$A$44,0))&amp;"","")</f>
        <v/>
      </c>
      <c r="F57" s="6">
        <f>IFERROR(INDEX('Annotator B'!$R$5:$R$44,MATCH($A57,'Annotator B'!$A$5:$A$44,0))&amp;"","")</f>
        <v/>
      </c>
      <c r="G57" s="6">
        <f>IF(AND(E57="",F57=""),"",IF(E57=F57,"agree","DIFFER"))</f>
        <v/>
      </c>
      <c r="H57" s="7" t="n"/>
      <c r="I57" s="6">
        <f>IF(H57&lt;&gt;"",H57,IF(G57="agree",E57,""))</f>
        <v/>
      </c>
    </row>
    <row r="58">
      <c r="A58" s="6" t="inlineStr">
        <is>
          <t>L03</t>
        </is>
      </c>
      <c r="B58" s="6" t="inlineStr">
        <is>
          <t>vague</t>
        </is>
      </c>
      <c r="C58" s="6" t="inlineStr">
        <is>
          <t>Risk — Operational</t>
        </is>
      </c>
      <c r="D58" s="6" t="inlineStr"/>
      <c r="E58" s="6">
        <f>IFERROR(INDEX('Annotator A'!$S$5:$S$44,MATCH($A58,'Annotator A'!$A$5:$A$44,0))&amp;"","")</f>
        <v/>
      </c>
      <c r="F58" s="6">
        <f>IFERROR(INDEX('Annotator B'!$S$5:$S$44,MATCH($A58,'Annotator B'!$A$5:$A$44,0))&amp;"","")</f>
        <v/>
      </c>
      <c r="G58" s="6">
        <f>IF(AND(E58="",F58=""),"",IF(E58=F58,"agree","DIFFER"))</f>
        <v/>
      </c>
      <c r="H58" s="7" t="n"/>
      <c r="I58" s="6">
        <f>IF(H58&lt;&gt;"",H58,IF(G58="agree",E58,""))</f>
        <v/>
      </c>
    </row>
    <row r="59">
      <c r="A59" s="6" t="inlineStr">
        <is>
          <t>L03</t>
        </is>
      </c>
      <c r="B59" s="6" t="inlineStr">
        <is>
          <t>vague</t>
        </is>
      </c>
      <c r="C59" s="6" t="inlineStr">
        <is>
          <t>Risk — Adoption</t>
        </is>
      </c>
      <c r="D59" s="6" t="inlineStr"/>
      <c r="E59" s="6">
        <f>IFERROR(INDEX('Annotator A'!$T$5:$T$44,MATCH($A59,'Annotator A'!$A$5:$A$44,0))&amp;"","")</f>
        <v/>
      </c>
      <c r="F59" s="6">
        <f>IFERROR(INDEX('Annotator B'!$T$5:$T$44,MATCH($A59,'Annotator B'!$A$5:$A$44,0))&amp;"","")</f>
        <v/>
      </c>
      <c r="G59" s="6">
        <f>IF(AND(E59="",F59=""),"",IF(E59=F59,"agree","DIFFER"))</f>
        <v/>
      </c>
      <c r="H59" s="7" t="n"/>
      <c r="I59" s="6">
        <f>IF(H59&lt;&gt;"",H59,IF(G59="agree",E59,""))</f>
        <v/>
      </c>
    </row>
    <row r="60">
      <c r="A60" s="6" t="inlineStr">
        <is>
          <t>L03</t>
        </is>
      </c>
      <c r="B60" s="6" t="inlineStr">
        <is>
          <t>vague</t>
        </is>
      </c>
      <c r="C60" s="6" t="inlineStr">
        <is>
          <t>Risk — Data</t>
        </is>
      </c>
      <c r="D60" s="6" t="inlineStr"/>
      <c r="E60" s="6">
        <f>IFERROR(INDEX('Annotator A'!$U$5:$U$44,MATCH($A60,'Annotator A'!$A$5:$A$44,0))&amp;"","")</f>
        <v/>
      </c>
      <c r="F60" s="6">
        <f>IFERROR(INDEX('Annotator B'!$U$5:$U$44,MATCH($A60,'Annotator B'!$A$5:$A$44,0))&amp;"","")</f>
        <v/>
      </c>
      <c r="G60" s="6">
        <f>IF(AND(E60="",F60=""),"",IF(E60=F60,"agree","DIFFER"))</f>
        <v/>
      </c>
      <c r="H60" s="7" t="n"/>
      <c r="I60" s="6">
        <f>IF(H60&lt;&gt;"",H60,IF(G60="agree",E60,""))</f>
        <v/>
      </c>
    </row>
    <row r="61">
      <c r="A61" s="6" t="inlineStr">
        <is>
          <t>L03</t>
        </is>
      </c>
      <c r="B61" s="6" t="inlineStr">
        <is>
          <t>vague</t>
        </is>
      </c>
      <c r="C61" s="6" t="inlineStr">
        <is>
          <t>Risk — Vendor</t>
        </is>
      </c>
      <c r="D61" s="6" t="inlineStr"/>
      <c r="E61" s="6">
        <f>IFERROR(INDEX('Annotator A'!$V$5:$V$44,MATCH($A61,'Annotator A'!$A$5:$A$44,0))&amp;"","")</f>
        <v/>
      </c>
      <c r="F61" s="6">
        <f>IFERROR(INDEX('Annotator B'!$V$5:$V$44,MATCH($A61,'Annotator B'!$A$5:$A$44,0))&amp;"","")</f>
        <v/>
      </c>
      <c r="G61" s="6">
        <f>IF(AND(E61="",F61=""),"",IF(E61=F61,"agree","DIFFER"))</f>
        <v/>
      </c>
      <c r="H61" s="7" t="n"/>
      <c r="I61" s="6">
        <f>IF(H61&lt;&gt;"",H61,IF(G61="agree",E61,""))</f>
        <v/>
      </c>
    </row>
    <row r="62">
      <c r="A62" s="6" t="inlineStr">
        <is>
          <t>L04</t>
        </is>
      </c>
      <c r="B62" s="6" t="inlineStr">
        <is>
          <t>near-duplicate</t>
        </is>
      </c>
      <c r="C62" s="6" t="inlineStr">
        <is>
          <t>Use cases</t>
        </is>
      </c>
      <c r="D62" s="6" t="inlineStr">
        <is>
          <t>reorganise shared drive into consistent top-level folders</t>
        </is>
      </c>
      <c r="E62" s="6">
        <f>IFERROR(INDEX('Annotator A'!$C$5:$C$44,MATCH($A62,'Annotator A'!$A$5:$A$44,0))&amp;"","")</f>
        <v/>
      </c>
      <c r="F62" s="6">
        <f>IFERROR(INDEX('Annotator B'!$C$5:$C$44,MATCH($A62,'Annotator B'!$A$5:$A$44,0))&amp;"","")</f>
        <v/>
      </c>
      <c r="G62" s="6" t="inlineStr">
        <is>
          <t>read both</t>
        </is>
      </c>
      <c r="H62" s="7" t="n"/>
      <c r="I62" s="6">
        <f>IF(H62&lt;&gt;"",H62,"")</f>
        <v/>
      </c>
    </row>
    <row r="63">
      <c r="A63" s="6" t="inlineStr">
        <is>
          <t>L04</t>
        </is>
      </c>
      <c r="B63" s="6" t="inlineStr">
        <is>
          <t>near-duplicate</t>
        </is>
      </c>
      <c r="C63" s="6" t="inlineStr">
        <is>
          <t>Value — Business impact</t>
        </is>
      </c>
      <c r="D63" s="6" t="inlineStr"/>
      <c r="E63" s="6">
        <f>IFERROR(INDEX('Annotator A'!$D$5:$D$44,MATCH($A63,'Annotator A'!$A$5:$A$44,0))&amp;"","")</f>
        <v/>
      </c>
      <c r="F63" s="6">
        <f>IFERROR(INDEX('Annotator B'!$D$5:$D$44,MATCH($A63,'Annotator B'!$A$5:$A$44,0))&amp;"","")</f>
        <v/>
      </c>
      <c r="G63" s="6">
        <f>IF(AND(E63="",F63=""),"",IF(E63=F63,"agree","DIFFER"))</f>
        <v/>
      </c>
      <c r="H63" s="7" t="n"/>
      <c r="I63" s="6">
        <f>IF(H63&lt;&gt;"",H63,IF(G63="agree",E63,""))</f>
        <v/>
      </c>
    </row>
    <row r="64">
      <c r="A64" s="6" t="inlineStr">
        <is>
          <t>L04</t>
        </is>
      </c>
      <c r="B64" s="6" t="inlineStr">
        <is>
          <t>near-duplicate</t>
        </is>
      </c>
      <c r="C64" s="6" t="inlineStr">
        <is>
          <t>Value — Productivity</t>
        </is>
      </c>
      <c r="D64" s="6" t="inlineStr">
        <is>
          <t>Low</t>
        </is>
      </c>
      <c r="E64" s="6">
        <f>IFERROR(INDEX('Annotator A'!$E$5:$E$44,MATCH($A64,'Annotator A'!$A$5:$A$44,0))&amp;"","")</f>
        <v/>
      </c>
      <c r="F64" s="6">
        <f>IFERROR(INDEX('Annotator B'!$E$5:$E$44,MATCH($A64,'Annotator B'!$A$5:$A$44,0))&amp;"","")</f>
        <v/>
      </c>
      <c r="G64" s="6">
        <f>IF(AND(E64="",F64=""),"",IF(E64=F64,"agree","DIFFER"))</f>
        <v/>
      </c>
      <c r="H64" s="7" t="n"/>
      <c r="I64" s="6">
        <f>IF(H64&lt;&gt;"",H64,IF(G64="agree",E64,""))</f>
        <v/>
      </c>
    </row>
    <row r="65">
      <c r="A65" s="6" t="inlineStr">
        <is>
          <t>L04</t>
        </is>
      </c>
      <c r="B65" s="6" t="inlineStr">
        <is>
          <t>near-duplicate</t>
        </is>
      </c>
      <c r="C65" s="6" t="inlineStr">
        <is>
          <t>Value — Cost reduction</t>
        </is>
      </c>
      <c r="D65" s="6" t="inlineStr"/>
      <c r="E65" s="6">
        <f>IFERROR(INDEX('Annotator A'!$F$5:$F$44,MATCH($A65,'Annotator A'!$A$5:$A$44,0))&amp;"","")</f>
        <v/>
      </c>
      <c r="F65" s="6">
        <f>IFERROR(INDEX('Annotator B'!$F$5:$F$44,MATCH($A65,'Annotator B'!$A$5:$A$44,0))&amp;"","")</f>
        <v/>
      </c>
      <c r="G65" s="6">
        <f>IF(AND(E65="",F65=""),"",IF(E65=F65,"agree","DIFFER"))</f>
        <v/>
      </c>
      <c r="H65" s="7" t="n"/>
      <c r="I65" s="6">
        <f>IF(H65&lt;&gt;"",H65,IF(G65="agree",E65,""))</f>
        <v/>
      </c>
    </row>
    <row r="66">
      <c r="A66" s="6" t="inlineStr">
        <is>
          <t>L04</t>
        </is>
      </c>
      <c r="B66" s="6" t="inlineStr">
        <is>
          <t>near-duplicate</t>
        </is>
      </c>
      <c r="C66" s="6" t="inlineStr">
        <is>
          <t>Value — Revenue</t>
        </is>
      </c>
      <c r="D66" s="6" t="inlineStr"/>
      <c r="E66" s="6">
        <f>IFERROR(INDEX('Annotator A'!$G$5:$G$44,MATCH($A66,'Annotator A'!$A$5:$A$44,0))&amp;"","")</f>
        <v/>
      </c>
      <c r="F66" s="6">
        <f>IFERROR(INDEX('Annotator B'!$G$5:$G$44,MATCH($A66,'Annotator B'!$A$5:$A$44,0))&amp;"","")</f>
        <v/>
      </c>
      <c r="G66" s="6">
        <f>IF(AND(E66="",F66=""),"",IF(E66=F66,"agree","DIFFER"))</f>
        <v/>
      </c>
      <c r="H66" s="7" t="n"/>
      <c r="I66" s="6">
        <f>IF(H66&lt;&gt;"",H66,IF(G66="agree",E66,""))</f>
        <v/>
      </c>
    </row>
    <row r="67">
      <c r="A67" s="6" t="inlineStr">
        <is>
          <t>L04</t>
        </is>
      </c>
      <c r="B67" s="6" t="inlineStr">
        <is>
          <t>near-duplicate</t>
        </is>
      </c>
      <c r="C67" s="6" t="inlineStr">
        <is>
          <t>Value — Employee experience</t>
        </is>
      </c>
      <c r="D67" s="6" t="inlineStr"/>
      <c r="E67" s="6">
        <f>IFERROR(INDEX('Annotator A'!$H$5:$H$44,MATCH($A67,'Annotator A'!$A$5:$A$44,0))&amp;"","")</f>
        <v/>
      </c>
      <c r="F67" s="6">
        <f>IFERROR(INDEX('Annotator B'!$H$5:$H$44,MATCH($A67,'Annotator B'!$A$5:$A$44,0))&amp;"","")</f>
        <v/>
      </c>
      <c r="G67" s="6">
        <f>IF(AND(E67="",F67=""),"",IF(E67=F67,"agree","DIFFER"))</f>
        <v/>
      </c>
      <c r="H67" s="7" t="n"/>
      <c r="I67" s="6">
        <f>IF(H67&lt;&gt;"",H67,IF(G67="agree",E67,""))</f>
        <v/>
      </c>
    </row>
    <row r="68">
      <c r="A68" s="6" t="inlineStr">
        <is>
          <t>L04</t>
        </is>
      </c>
      <c r="B68" s="6" t="inlineStr">
        <is>
          <t>near-duplicate</t>
        </is>
      </c>
      <c r="C68" s="6" t="inlineStr">
        <is>
          <t>Value — Customer impact</t>
        </is>
      </c>
      <c r="D68" s="6" t="inlineStr"/>
      <c r="E68" s="6">
        <f>IFERROR(INDEX('Annotator A'!$I$5:$I$44,MATCH($A68,'Annotator A'!$A$5:$A$44,0))&amp;"","")</f>
        <v/>
      </c>
      <c r="F68" s="6">
        <f>IFERROR(INDEX('Annotator B'!$I$5:$I$44,MATCH($A68,'Annotator B'!$A$5:$A$44,0))&amp;"","")</f>
        <v/>
      </c>
      <c r="G68" s="6">
        <f>IF(AND(E68="",F68=""),"",IF(E68=F68,"agree","DIFFER"))</f>
        <v/>
      </c>
      <c r="H68" s="7" t="n"/>
      <c r="I68" s="6">
        <f>IF(H68&lt;&gt;"",H68,IF(G68="agree",E68,""))</f>
        <v/>
      </c>
    </row>
    <row r="69">
      <c r="A69" s="6" t="inlineStr">
        <is>
          <t>L04</t>
        </is>
      </c>
      <c r="B69" s="6" t="inlineStr">
        <is>
          <t>near-duplicate</t>
        </is>
      </c>
      <c r="C69" s="6" t="inlineStr">
        <is>
          <t>Value — Operational</t>
        </is>
      </c>
      <c r="D69" s="6" t="inlineStr"/>
      <c r="E69" s="6">
        <f>IFERROR(INDEX('Annotator A'!$J$5:$J$44,MATCH($A69,'Annotator A'!$A$5:$A$44,0))&amp;"","")</f>
        <v/>
      </c>
      <c r="F69" s="6">
        <f>IFERROR(INDEX('Annotator B'!$J$5:$J$44,MATCH($A69,'Annotator B'!$A$5:$A$44,0))&amp;"","")</f>
        <v/>
      </c>
      <c r="G69" s="6">
        <f>IF(AND(E69="",F69=""),"",IF(E69=F69,"agree","DIFFER"))</f>
        <v/>
      </c>
      <c r="H69" s="7" t="n"/>
      <c r="I69" s="6">
        <f>IF(H69&lt;&gt;"",H69,IF(G69="agree",E69,""))</f>
        <v/>
      </c>
    </row>
    <row r="70">
      <c r="A70" s="6" t="inlineStr">
        <is>
          <t>L04</t>
        </is>
      </c>
      <c r="B70" s="6" t="inlineStr">
        <is>
          <t>near-duplicate</t>
        </is>
      </c>
      <c r="C70" s="6" t="inlineStr">
        <is>
          <t>Value — Problem severity</t>
        </is>
      </c>
      <c r="D70" s="6" t="inlineStr"/>
      <c r="E70" s="6">
        <f>IFERROR(INDEX('Annotator A'!$K$5:$K$44,MATCH($A70,'Annotator A'!$A$5:$A$44,0))&amp;"","")</f>
        <v/>
      </c>
      <c r="F70" s="6">
        <f>IFERROR(INDEX('Annotator B'!$K$5:$K$44,MATCH($A70,'Annotator B'!$A$5:$A$44,0))&amp;"","")</f>
        <v/>
      </c>
      <c r="G70" s="6">
        <f>IF(AND(E70="",F70=""),"",IF(E70=F70,"agree","DIFFER"))</f>
        <v/>
      </c>
      <c r="H70" s="7" t="n"/>
      <c r="I70" s="6">
        <f>IF(H70&lt;&gt;"",H70,IF(G70="agree",E70,""))</f>
        <v/>
      </c>
    </row>
    <row r="71">
      <c r="A71" s="6" t="inlineStr">
        <is>
          <t>L04</t>
        </is>
      </c>
      <c r="B71" s="6" t="inlineStr">
        <is>
          <t>near-duplicate</t>
        </is>
      </c>
      <c r="C71" s="6" t="inlineStr">
        <is>
          <t>Value — Problem frequency</t>
        </is>
      </c>
      <c r="D71" s="6" t="inlineStr">
        <is>
          <t>Moderate</t>
        </is>
      </c>
      <c r="E71" s="6">
        <f>IFERROR(INDEX('Annotator A'!$L$5:$L$44,MATCH($A71,'Annotator A'!$A$5:$A$44,0))&amp;"","")</f>
        <v/>
      </c>
      <c r="F71" s="6">
        <f>IFERROR(INDEX('Annotator B'!$L$5:$L$44,MATCH($A71,'Annotator B'!$A$5:$A$44,0))&amp;"","")</f>
        <v/>
      </c>
      <c r="G71" s="6">
        <f>IF(AND(E71="",F71=""),"",IF(E71=F71,"agree","DIFFER"))</f>
        <v/>
      </c>
      <c r="H71" s="7" t="n"/>
      <c r="I71" s="6">
        <f>IF(H71&lt;&gt;"",H71,IF(G71="agree",E71,""))</f>
        <v/>
      </c>
    </row>
    <row r="72">
      <c r="A72" s="6" t="inlineStr">
        <is>
          <t>L04</t>
        </is>
      </c>
      <c r="B72" s="6" t="inlineStr">
        <is>
          <t>near-duplicate</t>
        </is>
      </c>
      <c r="C72" s="6" t="inlineStr">
        <is>
          <t>Feasibility status</t>
        </is>
      </c>
      <c r="D72" s="6" t="inlineStr">
        <is>
          <t>HIGHLY_FEASIBLE</t>
        </is>
      </c>
      <c r="E72" s="6">
        <f>IFERROR(INDEX('Annotator A'!$M$5:$M$44,MATCH($A72,'Annotator A'!$A$5:$A$44,0))&amp;"","")</f>
        <v/>
      </c>
      <c r="F72" s="6">
        <f>IFERROR(INDEX('Annotator B'!$M$5:$M$44,MATCH($A72,'Annotator B'!$A$5:$A$44,0))&amp;"","")</f>
        <v/>
      </c>
      <c r="G72" s="6">
        <f>IF(AND(E72="",F72=""),"",IF(E72=F72,"agree","DIFFER"))</f>
        <v/>
      </c>
      <c r="H72" s="7" t="n"/>
      <c r="I72" s="6">
        <f>IF(H72&lt;&gt;"",H72,IF(G72="agree",E72,""))</f>
        <v/>
      </c>
    </row>
    <row r="73">
      <c r="A73" s="6" t="inlineStr">
        <is>
          <t>L04</t>
        </is>
      </c>
      <c r="B73" s="6" t="inlineStr">
        <is>
          <t>near-duplicate</t>
        </is>
      </c>
      <c r="C73" s="6" t="inlineStr">
        <is>
          <t>Risk — Technical</t>
        </is>
      </c>
      <c r="D73" s="6" t="inlineStr"/>
      <c r="E73" s="6">
        <f>IFERROR(INDEX('Annotator A'!$N$5:$N$44,MATCH($A73,'Annotator A'!$A$5:$A$44,0))&amp;"","")</f>
        <v/>
      </c>
      <c r="F73" s="6">
        <f>IFERROR(INDEX('Annotator B'!$N$5:$N$44,MATCH($A73,'Annotator B'!$A$5:$A$44,0))&amp;"","")</f>
        <v/>
      </c>
      <c r="G73" s="6">
        <f>IF(AND(E73="",F73=""),"",IF(E73=F73,"agree","DIFFER"))</f>
        <v/>
      </c>
      <c r="H73" s="7" t="n"/>
      <c r="I73" s="6">
        <f>IF(H73&lt;&gt;"",H73,IF(G73="agree",E73,""))</f>
        <v/>
      </c>
    </row>
    <row r="74">
      <c r="A74" s="6" t="inlineStr">
        <is>
          <t>L04</t>
        </is>
      </c>
      <c r="B74" s="6" t="inlineStr">
        <is>
          <t>near-duplicate</t>
        </is>
      </c>
      <c r="C74" s="6" t="inlineStr">
        <is>
          <t>Risk — Security</t>
        </is>
      </c>
      <c r="D74" s="6" t="inlineStr"/>
      <c r="E74" s="6">
        <f>IFERROR(INDEX('Annotator A'!$O$5:$O$44,MATCH($A74,'Annotator A'!$A$5:$A$44,0))&amp;"","")</f>
        <v/>
      </c>
      <c r="F74" s="6">
        <f>IFERROR(INDEX('Annotator B'!$O$5:$O$44,MATCH($A74,'Annotator B'!$A$5:$A$44,0))&amp;"","")</f>
        <v/>
      </c>
      <c r="G74" s="6">
        <f>IF(AND(E74="",F74=""),"",IF(E74=F74,"agree","DIFFER"))</f>
        <v/>
      </c>
      <c r="H74" s="7" t="n"/>
      <c r="I74" s="6">
        <f>IF(H74&lt;&gt;"",H74,IF(G74="agree",E74,""))</f>
        <v/>
      </c>
    </row>
    <row r="75">
      <c r="A75" s="6" t="inlineStr">
        <is>
          <t>L04</t>
        </is>
      </c>
      <c r="B75" s="6" t="inlineStr">
        <is>
          <t>near-duplicate</t>
        </is>
      </c>
      <c r="C75" s="6" t="inlineStr">
        <is>
          <t>Risk — Privacy</t>
        </is>
      </c>
      <c r="D75" s="6" t="inlineStr"/>
      <c r="E75" s="6">
        <f>IFERROR(INDEX('Annotator A'!$P$5:$P$44,MATCH($A75,'Annotator A'!$A$5:$A$44,0))&amp;"","")</f>
        <v/>
      </c>
      <c r="F75" s="6">
        <f>IFERROR(INDEX('Annotator B'!$P$5:$P$44,MATCH($A75,'Annotator B'!$A$5:$A$44,0))&amp;"","")</f>
        <v/>
      </c>
      <c r="G75" s="6">
        <f>IF(AND(E75="",F75=""),"",IF(E75=F75,"agree","DIFFER"))</f>
        <v/>
      </c>
      <c r="H75" s="7" t="n"/>
      <c r="I75" s="6">
        <f>IF(H75&lt;&gt;"",H75,IF(G75="agree",E75,""))</f>
        <v/>
      </c>
    </row>
    <row r="76">
      <c r="A76" s="6" t="inlineStr">
        <is>
          <t>L04</t>
        </is>
      </c>
      <c r="B76" s="6" t="inlineStr">
        <is>
          <t>near-duplicate</t>
        </is>
      </c>
      <c r="C76" s="6" t="inlineStr">
        <is>
          <t>Risk — Compliance</t>
        </is>
      </c>
      <c r="D76" s="6" t="inlineStr"/>
      <c r="E76" s="6">
        <f>IFERROR(INDEX('Annotator A'!$Q$5:$Q$44,MATCH($A76,'Annotator A'!$A$5:$A$44,0))&amp;"","")</f>
        <v/>
      </c>
      <c r="F76" s="6">
        <f>IFERROR(INDEX('Annotator B'!$Q$5:$Q$44,MATCH($A76,'Annotator B'!$A$5:$A$44,0))&amp;"","")</f>
        <v/>
      </c>
      <c r="G76" s="6">
        <f>IF(AND(E76="",F76=""),"",IF(E76=F76,"agree","DIFFER"))</f>
        <v/>
      </c>
      <c r="H76" s="7" t="n"/>
      <c r="I76" s="6">
        <f>IF(H76&lt;&gt;"",H76,IF(G76="agree",E76,""))</f>
        <v/>
      </c>
    </row>
    <row r="77">
      <c r="A77" s="6" t="inlineStr">
        <is>
          <t>L04</t>
        </is>
      </c>
      <c r="B77" s="6" t="inlineStr">
        <is>
          <t>near-duplicate</t>
        </is>
      </c>
      <c r="C77" s="6" t="inlineStr">
        <is>
          <t>Risk — Financial</t>
        </is>
      </c>
      <c r="D77" s="6" t="inlineStr"/>
      <c r="E77" s="6">
        <f>IFERROR(INDEX('Annotator A'!$R$5:$R$44,MATCH($A77,'Annotator A'!$A$5:$A$44,0))&amp;"","")</f>
        <v/>
      </c>
      <c r="F77" s="6">
        <f>IFERROR(INDEX('Annotator B'!$R$5:$R$44,MATCH($A77,'Annotator B'!$A$5:$A$44,0))&amp;"","")</f>
        <v/>
      </c>
      <c r="G77" s="6">
        <f>IF(AND(E77="",F77=""),"",IF(E77=F77,"agree","DIFFER"))</f>
        <v/>
      </c>
      <c r="H77" s="7" t="n"/>
      <c r="I77" s="6">
        <f>IF(H77&lt;&gt;"",H77,IF(G77="agree",E77,""))</f>
        <v/>
      </c>
    </row>
    <row r="78">
      <c r="A78" s="6" t="inlineStr">
        <is>
          <t>L04</t>
        </is>
      </c>
      <c r="B78" s="6" t="inlineStr">
        <is>
          <t>near-duplicate</t>
        </is>
      </c>
      <c r="C78" s="6" t="inlineStr">
        <is>
          <t>Risk — Operational</t>
        </is>
      </c>
      <c r="D78" s="6" t="inlineStr"/>
      <c r="E78" s="6">
        <f>IFERROR(INDEX('Annotator A'!$S$5:$S$44,MATCH($A78,'Annotator A'!$A$5:$A$44,0))&amp;"","")</f>
        <v/>
      </c>
      <c r="F78" s="6">
        <f>IFERROR(INDEX('Annotator B'!$S$5:$S$44,MATCH($A78,'Annotator B'!$A$5:$A$44,0))&amp;"","")</f>
        <v/>
      </c>
      <c r="G78" s="6">
        <f>IF(AND(E78="",F78=""),"",IF(E78=F78,"agree","DIFFER"))</f>
        <v/>
      </c>
      <c r="H78" s="7" t="n"/>
      <c r="I78" s="6">
        <f>IF(H78&lt;&gt;"",H78,IF(G78="agree",E78,""))</f>
        <v/>
      </c>
    </row>
    <row r="79">
      <c r="A79" s="6" t="inlineStr">
        <is>
          <t>L04</t>
        </is>
      </c>
      <c r="B79" s="6" t="inlineStr">
        <is>
          <t>near-duplicate</t>
        </is>
      </c>
      <c r="C79" s="6" t="inlineStr">
        <is>
          <t>Risk — Adoption</t>
        </is>
      </c>
      <c r="D79" s="6" t="inlineStr"/>
      <c r="E79" s="6">
        <f>IFERROR(INDEX('Annotator A'!$T$5:$T$44,MATCH($A79,'Annotator A'!$A$5:$A$44,0))&amp;"","")</f>
        <v/>
      </c>
      <c r="F79" s="6">
        <f>IFERROR(INDEX('Annotator B'!$T$5:$T$44,MATCH($A79,'Annotator B'!$A$5:$A$44,0))&amp;"","")</f>
        <v/>
      </c>
      <c r="G79" s="6">
        <f>IF(AND(E79="",F79=""),"",IF(E79=F79,"agree","DIFFER"))</f>
        <v/>
      </c>
      <c r="H79" s="7" t="n"/>
      <c r="I79" s="6">
        <f>IF(H79&lt;&gt;"",H79,IF(G79="agree",E79,""))</f>
        <v/>
      </c>
    </row>
    <row r="80">
      <c r="A80" s="6" t="inlineStr">
        <is>
          <t>L04</t>
        </is>
      </c>
      <c r="B80" s="6" t="inlineStr">
        <is>
          <t>near-duplicate</t>
        </is>
      </c>
      <c r="C80" s="6" t="inlineStr">
        <is>
          <t>Risk — Data</t>
        </is>
      </c>
      <c r="D80" s="6" t="inlineStr"/>
      <c r="E80" s="6">
        <f>IFERROR(INDEX('Annotator A'!$U$5:$U$44,MATCH($A80,'Annotator A'!$A$5:$A$44,0))&amp;"","")</f>
        <v/>
      </c>
      <c r="F80" s="6">
        <f>IFERROR(INDEX('Annotator B'!$U$5:$U$44,MATCH($A80,'Annotator B'!$A$5:$A$44,0))&amp;"","")</f>
        <v/>
      </c>
      <c r="G80" s="6">
        <f>IF(AND(E80="",F80=""),"",IF(E80=F80,"agree","DIFFER"))</f>
        <v/>
      </c>
      <c r="H80" s="7" t="n"/>
      <c r="I80" s="6">
        <f>IF(H80&lt;&gt;"",H80,IF(G80="agree",E80,""))</f>
        <v/>
      </c>
    </row>
    <row r="81">
      <c r="A81" s="6" t="inlineStr">
        <is>
          <t>L04</t>
        </is>
      </c>
      <c r="B81" s="6" t="inlineStr">
        <is>
          <t>near-duplicate</t>
        </is>
      </c>
      <c r="C81" s="6" t="inlineStr">
        <is>
          <t>Risk — Vendor</t>
        </is>
      </c>
      <c r="D81" s="6" t="inlineStr"/>
      <c r="E81" s="6">
        <f>IFERROR(INDEX('Annotator A'!$V$5:$V$44,MATCH($A81,'Annotator A'!$A$5:$A$44,0))&amp;"","")</f>
        <v/>
      </c>
      <c r="F81" s="6">
        <f>IFERROR(INDEX('Annotator B'!$V$5:$V$44,MATCH($A81,'Annotator B'!$A$5:$A$44,0))&amp;"","")</f>
        <v/>
      </c>
      <c r="G81" s="6">
        <f>IF(AND(E81="",F81=""),"",IF(E81=F81,"agree","DIFFER"))</f>
        <v/>
      </c>
      <c r="H81" s="7" t="n"/>
      <c r="I81" s="6">
        <f>IF(H81&lt;&gt;"",H81,IF(G81="agree",E81,""))</f>
        <v/>
      </c>
    </row>
    <row r="82">
      <c r="A82" s="6" t="inlineStr">
        <is>
          <t>L05</t>
        </is>
      </c>
      <c r="B82" s="6" t="inlineStr">
        <is>
          <t>vague</t>
        </is>
      </c>
      <c r="C82" s="6" t="inlineStr">
        <is>
          <t>Use cases</t>
        </is>
      </c>
      <c r="D82" s="6" t="inlineStr"/>
      <c r="E82" s="6">
        <f>IFERROR(INDEX('Annotator A'!$C$5:$C$44,MATCH($A82,'Annotator A'!$A$5:$A$44,0))&amp;"","")</f>
        <v/>
      </c>
      <c r="F82" s="6">
        <f>IFERROR(INDEX('Annotator B'!$C$5:$C$44,MATCH($A82,'Annotator B'!$A$5:$A$44,0))&amp;"","")</f>
        <v/>
      </c>
      <c r="G82" s="6" t="inlineStr">
        <is>
          <t>read both</t>
        </is>
      </c>
      <c r="H82" s="7" t="n"/>
      <c r="I82" s="6">
        <f>IF(H82&lt;&gt;"",H82,"")</f>
        <v/>
      </c>
    </row>
    <row r="83">
      <c r="A83" s="6" t="inlineStr">
        <is>
          <t>L05</t>
        </is>
      </c>
      <c r="B83" s="6" t="inlineStr">
        <is>
          <t>vague</t>
        </is>
      </c>
      <c r="C83" s="6" t="inlineStr">
        <is>
          <t>Value — Business impact</t>
        </is>
      </c>
      <c r="D83" s="6" t="inlineStr"/>
      <c r="E83" s="6">
        <f>IFERROR(INDEX('Annotator A'!$D$5:$D$44,MATCH($A83,'Annotator A'!$A$5:$A$44,0))&amp;"","")</f>
        <v/>
      </c>
      <c r="F83" s="6">
        <f>IFERROR(INDEX('Annotator B'!$D$5:$D$44,MATCH($A83,'Annotator B'!$A$5:$A$44,0))&amp;"","")</f>
        <v/>
      </c>
      <c r="G83" s="6">
        <f>IF(AND(E83="",F83=""),"",IF(E83=F83,"agree","DIFFER"))</f>
        <v/>
      </c>
      <c r="H83" s="7" t="n"/>
      <c r="I83" s="6">
        <f>IF(H83&lt;&gt;"",H83,IF(G83="agree",E83,""))</f>
        <v/>
      </c>
    </row>
    <row r="84">
      <c r="A84" s="6" t="inlineStr">
        <is>
          <t>L05</t>
        </is>
      </c>
      <c r="B84" s="6" t="inlineStr">
        <is>
          <t>vague</t>
        </is>
      </c>
      <c r="C84" s="6" t="inlineStr">
        <is>
          <t>Value — Productivity</t>
        </is>
      </c>
      <c r="D84" s="6" t="inlineStr"/>
      <c r="E84" s="6">
        <f>IFERROR(INDEX('Annotator A'!$E$5:$E$44,MATCH($A84,'Annotator A'!$A$5:$A$44,0))&amp;"","")</f>
        <v/>
      </c>
      <c r="F84" s="6">
        <f>IFERROR(INDEX('Annotator B'!$E$5:$E$44,MATCH($A84,'Annotator B'!$A$5:$A$44,0))&amp;"","")</f>
        <v/>
      </c>
      <c r="G84" s="6">
        <f>IF(AND(E84="",F84=""),"",IF(E84=F84,"agree","DIFFER"))</f>
        <v/>
      </c>
      <c r="H84" s="7" t="n"/>
      <c r="I84" s="6">
        <f>IF(H84&lt;&gt;"",H84,IF(G84="agree",E84,""))</f>
        <v/>
      </c>
    </row>
    <row r="85">
      <c r="A85" s="6" t="inlineStr">
        <is>
          <t>L05</t>
        </is>
      </c>
      <c r="B85" s="6" t="inlineStr">
        <is>
          <t>vague</t>
        </is>
      </c>
      <c r="C85" s="6" t="inlineStr">
        <is>
          <t>Value — Cost reduction</t>
        </is>
      </c>
      <c r="D85" s="6" t="inlineStr"/>
      <c r="E85" s="6">
        <f>IFERROR(INDEX('Annotator A'!$F$5:$F$44,MATCH($A85,'Annotator A'!$A$5:$A$44,0))&amp;"","")</f>
        <v/>
      </c>
      <c r="F85" s="6">
        <f>IFERROR(INDEX('Annotator B'!$F$5:$F$44,MATCH($A85,'Annotator B'!$A$5:$A$44,0))&amp;"","")</f>
        <v/>
      </c>
      <c r="G85" s="6">
        <f>IF(AND(E85="",F85=""),"",IF(E85=F85,"agree","DIFFER"))</f>
        <v/>
      </c>
      <c r="H85" s="7" t="n"/>
      <c r="I85" s="6">
        <f>IF(H85&lt;&gt;"",H85,IF(G85="agree",E85,""))</f>
        <v/>
      </c>
    </row>
    <row r="86">
      <c r="A86" s="6" t="inlineStr">
        <is>
          <t>L05</t>
        </is>
      </c>
      <c r="B86" s="6" t="inlineStr">
        <is>
          <t>vague</t>
        </is>
      </c>
      <c r="C86" s="6" t="inlineStr">
        <is>
          <t>Value — Revenue</t>
        </is>
      </c>
      <c r="D86" s="6" t="inlineStr"/>
      <c r="E86" s="6">
        <f>IFERROR(INDEX('Annotator A'!$G$5:$G$44,MATCH($A86,'Annotator A'!$A$5:$A$44,0))&amp;"","")</f>
        <v/>
      </c>
      <c r="F86" s="6">
        <f>IFERROR(INDEX('Annotator B'!$G$5:$G$44,MATCH($A86,'Annotator B'!$A$5:$A$44,0))&amp;"","")</f>
        <v/>
      </c>
      <c r="G86" s="6">
        <f>IF(AND(E86="",F86=""),"",IF(E86=F86,"agree","DIFFER"))</f>
        <v/>
      </c>
      <c r="H86" s="7" t="n"/>
      <c r="I86" s="6">
        <f>IF(H86&lt;&gt;"",H86,IF(G86="agree",E86,""))</f>
        <v/>
      </c>
    </row>
    <row r="87">
      <c r="A87" s="6" t="inlineStr">
        <is>
          <t>L05</t>
        </is>
      </c>
      <c r="B87" s="6" t="inlineStr">
        <is>
          <t>vague</t>
        </is>
      </c>
      <c r="C87" s="6" t="inlineStr">
        <is>
          <t>Value — Employee experience</t>
        </is>
      </c>
      <c r="D87" s="6" t="inlineStr"/>
      <c r="E87" s="6">
        <f>IFERROR(INDEX('Annotator A'!$H$5:$H$44,MATCH($A87,'Annotator A'!$A$5:$A$44,0))&amp;"","")</f>
        <v/>
      </c>
      <c r="F87" s="6">
        <f>IFERROR(INDEX('Annotator B'!$H$5:$H$44,MATCH($A87,'Annotator B'!$A$5:$A$44,0))&amp;"","")</f>
        <v/>
      </c>
      <c r="G87" s="6">
        <f>IF(AND(E87="",F87=""),"",IF(E87=F87,"agree","DIFFER"))</f>
        <v/>
      </c>
      <c r="H87" s="7" t="n"/>
      <c r="I87" s="6">
        <f>IF(H87&lt;&gt;"",H87,IF(G87="agree",E87,""))</f>
        <v/>
      </c>
    </row>
    <row r="88">
      <c r="A88" s="6" t="inlineStr">
        <is>
          <t>L05</t>
        </is>
      </c>
      <c r="B88" s="6" t="inlineStr">
        <is>
          <t>vague</t>
        </is>
      </c>
      <c r="C88" s="6" t="inlineStr">
        <is>
          <t>Value — Customer impact</t>
        </is>
      </c>
      <c r="D88" s="6" t="inlineStr"/>
      <c r="E88" s="6">
        <f>IFERROR(INDEX('Annotator A'!$I$5:$I$44,MATCH($A88,'Annotator A'!$A$5:$A$44,0))&amp;"","")</f>
        <v/>
      </c>
      <c r="F88" s="6">
        <f>IFERROR(INDEX('Annotator B'!$I$5:$I$44,MATCH($A88,'Annotator B'!$A$5:$A$44,0))&amp;"","")</f>
        <v/>
      </c>
      <c r="G88" s="6">
        <f>IF(AND(E88="",F88=""),"",IF(E88=F88,"agree","DIFFER"))</f>
        <v/>
      </c>
      <c r="H88" s="7" t="n"/>
      <c r="I88" s="6">
        <f>IF(H88&lt;&gt;"",H88,IF(G88="agree",E88,""))</f>
        <v/>
      </c>
    </row>
    <row r="89">
      <c r="A89" s="6" t="inlineStr">
        <is>
          <t>L05</t>
        </is>
      </c>
      <c r="B89" s="6" t="inlineStr">
        <is>
          <t>vague</t>
        </is>
      </c>
      <c r="C89" s="6" t="inlineStr">
        <is>
          <t>Value — Operational</t>
        </is>
      </c>
      <c r="D89" s="6" t="inlineStr"/>
      <c r="E89" s="6">
        <f>IFERROR(INDEX('Annotator A'!$J$5:$J$44,MATCH($A89,'Annotator A'!$A$5:$A$44,0))&amp;"","")</f>
        <v/>
      </c>
      <c r="F89" s="6">
        <f>IFERROR(INDEX('Annotator B'!$J$5:$J$44,MATCH($A89,'Annotator B'!$A$5:$A$44,0))&amp;"","")</f>
        <v/>
      </c>
      <c r="G89" s="6">
        <f>IF(AND(E89="",F89=""),"",IF(E89=F89,"agree","DIFFER"))</f>
        <v/>
      </c>
      <c r="H89" s="7" t="n"/>
      <c r="I89" s="6">
        <f>IF(H89&lt;&gt;"",H89,IF(G89="agree",E89,""))</f>
        <v/>
      </c>
    </row>
    <row r="90">
      <c r="A90" s="6" t="inlineStr">
        <is>
          <t>L05</t>
        </is>
      </c>
      <c r="B90" s="6" t="inlineStr">
        <is>
          <t>vague</t>
        </is>
      </c>
      <c r="C90" s="6" t="inlineStr">
        <is>
          <t>Value — Problem severity</t>
        </is>
      </c>
      <c r="D90" s="6" t="inlineStr"/>
      <c r="E90" s="6">
        <f>IFERROR(INDEX('Annotator A'!$K$5:$K$44,MATCH($A90,'Annotator A'!$A$5:$A$44,0))&amp;"","")</f>
        <v/>
      </c>
      <c r="F90" s="6">
        <f>IFERROR(INDEX('Annotator B'!$K$5:$K$44,MATCH($A90,'Annotator B'!$A$5:$A$44,0))&amp;"","")</f>
        <v/>
      </c>
      <c r="G90" s="6">
        <f>IF(AND(E90="",F90=""),"",IF(E90=F90,"agree","DIFFER"))</f>
        <v/>
      </c>
      <c r="H90" s="7" t="n"/>
      <c r="I90" s="6">
        <f>IF(H90&lt;&gt;"",H90,IF(G90="agree",E90,""))</f>
        <v/>
      </c>
    </row>
    <row r="91">
      <c r="A91" s="6" t="inlineStr">
        <is>
          <t>L05</t>
        </is>
      </c>
      <c r="B91" s="6" t="inlineStr">
        <is>
          <t>vague</t>
        </is>
      </c>
      <c r="C91" s="6" t="inlineStr">
        <is>
          <t>Value — Problem frequency</t>
        </is>
      </c>
      <c r="D91" s="6" t="inlineStr"/>
      <c r="E91" s="6">
        <f>IFERROR(INDEX('Annotator A'!$L$5:$L$44,MATCH($A91,'Annotator A'!$A$5:$A$44,0))&amp;"","")</f>
        <v/>
      </c>
      <c r="F91" s="6">
        <f>IFERROR(INDEX('Annotator B'!$L$5:$L$44,MATCH($A91,'Annotator B'!$A$5:$A$44,0))&amp;"","")</f>
        <v/>
      </c>
      <c r="G91" s="6">
        <f>IF(AND(E91="",F91=""),"",IF(E91=F91,"agree","DIFFER"))</f>
        <v/>
      </c>
      <c r="H91" s="7" t="n"/>
      <c r="I91" s="6">
        <f>IF(H91&lt;&gt;"",H91,IF(G91="agree",E91,""))</f>
        <v/>
      </c>
    </row>
    <row r="92">
      <c r="A92" s="6" t="inlineStr">
        <is>
          <t>L05</t>
        </is>
      </c>
      <c r="B92" s="6" t="inlineStr">
        <is>
          <t>vague</t>
        </is>
      </c>
      <c r="C92" s="6" t="inlineStr">
        <is>
          <t>Feasibility status</t>
        </is>
      </c>
      <c r="D92" s="6" t="inlineStr"/>
      <c r="E92" s="6">
        <f>IFERROR(INDEX('Annotator A'!$M$5:$M$44,MATCH($A92,'Annotator A'!$A$5:$A$44,0))&amp;"","")</f>
        <v/>
      </c>
      <c r="F92" s="6">
        <f>IFERROR(INDEX('Annotator B'!$M$5:$M$44,MATCH($A92,'Annotator B'!$A$5:$A$44,0))&amp;"","")</f>
        <v/>
      </c>
      <c r="G92" s="6">
        <f>IF(AND(E92="",F92=""),"",IF(E92=F92,"agree","DIFFER"))</f>
        <v/>
      </c>
      <c r="H92" s="7" t="n"/>
      <c r="I92" s="6">
        <f>IF(H92&lt;&gt;"",H92,IF(G92="agree",E92,""))</f>
        <v/>
      </c>
    </row>
    <row r="93">
      <c r="A93" s="6" t="inlineStr">
        <is>
          <t>L05</t>
        </is>
      </c>
      <c r="B93" s="6" t="inlineStr">
        <is>
          <t>vague</t>
        </is>
      </c>
      <c r="C93" s="6" t="inlineStr">
        <is>
          <t>Risk — Technical</t>
        </is>
      </c>
      <c r="D93" s="6" t="inlineStr"/>
      <c r="E93" s="6">
        <f>IFERROR(INDEX('Annotator A'!$N$5:$N$44,MATCH($A93,'Annotator A'!$A$5:$A$44,0))&amp;"","")</f>
        <v/>
      </c>
      <c r="F93" s="6">
        <f>IFERROR(INDEX('Annotator B'!$N$5:$N$44,MATCH($A93,'Annotator B'!$A$5:$A$44,0))&amp;"","")</f>
        <v/>
      </c>
      <c r="G93" s="6">
        <f>IF(AND(E93="",F93=""),"",IF(E93=F93,"agree","DIFFER"))</f>
        <v/>
      </c>
      <c r="H93" s="7" t="n"/>
      <c r="I93" s="6">
        <f>IF(H93&lt;&gt;"",H93,IF(G93="agree",E93,""))</f>
        <v/>
      </c>
    </row>
    <row r="94">
      <c r="A94" s="6" t="inlineStr">
        <is>
          <t>L05</t>
        </is>
      </c>
      <c r="B94" s="6" t="inlineStr">
        <is>
          <t>vague</t>
        </is>
      </c>
      <c r="C94" s="6" t="inlineStr">
        <is>
          <t>Risk — Security</t>
        </is>
      </c>
      <c r="D94" s="6" t="inlineStr"/>
      <c r="E94" s="6">
        <f>IFERROR(INDEX('Annotator A'!$O$5:$O$44,MATCH($A94,'Annotator A'!$A$5:$A$44,0))&amp;"","")</f>
        <v/>
      </c>
      <c r="F94" s="6">
        <f>IFERROR(INDEX('Annotator B'!$O$5:$O$44,MATCH($A94,'Annotator B'!$A$5:$A$44,0))&amp;"","")</f>
        <v/>
      </c>
      <c r="G94" s="6">
        <f>IF(AND(E94="",F94=""),"",IF(E94=F94,"agree","DIFFER"))</f>
        <v/>
      </c>
      <c r="H94" s="7" t="n"/>
      <c r="I94" s="6">
        <f>IF(H94&lt;&gt;"",H94,IF(G94="agree",E94,""))</f>
        <v/>
      </c>
    </row>
    <row r="95">
      <c r="A95" s="6" t="inlineStr">
        <is>
          <t>L05</t>
        </is>
      </c>
      <c r="B95" s="6" t="inlineStr">
        <is>
          <t>vague</t>
        </is>
      </c>
      <c r="C95" s="6" t="inlineStr">
        <is>
          <t>Risk — Privacy</t>
        </is>
      </c>
      <c r="D95" s="6" t="inlineStr"/>
      <c r="E95" s="6">
        <f>IFERROR(INDEX('Annotator A'!$P$5:$P$44,MATCH($A95,'Annotator A'!$A$5:$A$44,0))&amp;"","")</f>
        <v/>
      </c>
      <c r="F95" s="6">
        <f>IFERROR(INDEX('Annotator B'!$P$5:$P$44,MATCH($A95,'Annotator B'!$A$5:$A$44,0))&amp;"","")</f>
        <v/>
      </c>
      <c r="G95" s="6">
        <f>IF(AND(E95="",F95=""),"",IF(E95=F95,"agree","DIFFER"))</f>
        <v/>
      </c>
      <c r="H95" s="7" t="n"/>
      <c r="I95" s="6">
        <f>IF(H95&lt;&gt;"",H95,IF(G95="agree",E95,""))</f>
        <v/>
      </c>
    </row>
    <row r="96">
      <c r="A96" s="6" t="inlineStr">
        <is>
          <t>L05</t>
        </is>
      </c>
      <c r="B96" s="6" t="inlineStr">
        <is>
          <t>vague</t>
        </is>
      </c>
      <c r="C96" s="6" t="inlineStr">
        <is>
          <t>Risk — Compliance</t>
        </is>
      </c>
      <c r="D96" s="6" t="inlineStr"/>
      <c r="E96" s="6">
        <f>IFERROR(INDEX('Annotator A'!$Q$5:$Q$44,MATCH($A96,'Annotator A'!$A$5:$A$44,0))&amp;"","")</f>
        <v/>
      </c>
      <c r="F96" s="6">
        <f>IFERROR(INDEX('Annotator B'!$Q$5:$Q$44,MATCH($A96,'Annotator B'!$A$5:$A$44,0))&amp;"","")</f>
        <v/>
      </c>
      <c r="G96" s="6">
        <f>IF(AND(E96="",F96=""),"",IF(E96=F96,"agree","DIFFER"))</f>
        <v/>
      </c>
      <c r="H96" s="7" t="n"/>
      <c r="I96" s="6">
        <f>IF(H96&lt;&gt;"",H96,IF(G96="agree",E96,""))</f>
        <v/>
      </c>
    </row>
    <row r="97">
      <c r="A97" s="6" t="inlineStr">
        <is>
          <t>L05</t>
        </is>
      </c>
      <c r="B97" s="6" t="inlineStr">
        <is>
          <t>vague</t>
        </is>
      </c>
      <c r="C97" s="6" t="inlineStr">
        <is>
          <t>Risk — Financial</t>
        </is>
      </c>
      <c r="D97" s="6" t="inlineStr"/>
      <c r="E97" s="6">
        <f>IFERROR(INDEX('Annotator A'!$R$5:$R$44,MATCH($A97,'Annotator A'!$A$5:$A$44,0))&amp;"","")</f>
        <v/>
      </c>
      <c r="F97" s="6">
        <f>IFERROR(INDEX('Annotator B'!$R$5:$R$44,MATCH($A97,'Annotator B'!$A$5:$A$44,0))&amp;"","")</f>
        <v/>
      </c>
      <c r="G97" s="6">
        <f>IF(AND(E97="",F97=""),"",IF(E97=F97,"agree","DIFFER"))</f>
        <v/>
      </c>
      <c r="H97" s="7" t="n"/>
      <c r="I97" s="6">
        <f>IF(H97&lt;&gt;"",H97,IF(G97="agree",E97,""))</f>
        <v/>
      </c>
    </row>
    <row r="98">
      <c r="A98" s="6" t="inlineStr">
        <is>
          <t>L05</t>
        </is>
      </c>
      <c r="B98" s="6" t="inlineStr">
        <is>
          <t>vague</t>
        </is>
      </c>
      <c r="C98" s="6" t="inlineStr">
        <is>
          <t>Risk — Operational</t>
        </is>
      </c>
      <c r="D98" s="6" t="inlineStr"/>
      <c r="E98" s="6">
        <f>IFERROR(INDEX('Annotator A'!$S$5:$S$44,MATCH($A98,'Annotator A'!$A$5:$A$44,0))&amp;"","")</f>
        <v/>
      </c>
      <c r="F98" s="6">
        <f>IFERROR(INDEX('Annotator B'!$S$5:$S$44,MATCH($A98,'Annotator B'!$A$5:$A$44,0))&amp;"","")</f>
        <v/>
      </c>
      <c r="G98" s="6">
        <f>IF(AND(E98="",F98=""),"",IF(E98=F98,"agree","DIFFER"))</f>
        <v/>
      </c>
      <c r="H98" s="7" t="n"/>
      <c r="I98" s="6">
        <f>IF(H98&lt;&gt;"",H98,IF(G98="agree",E98,""))</f>
        <v/>
      </c>
    </row>
    <row r="99">
      <c r="A99" s="6" t="inlineStr">
        <is>
          <t>L05</t>
        </is>
      </c>
      <c r="B99" s="6" t="inlineStr">
        <is>
          <t>vague</t>
        </is>
      </c>
      <c r="C99" s="6" t="inlineStr">
        <is>
          <t>Risk — Adoption</t>
        </is>
      </c>
      <c r="D99" s="6" t="inlineStr"/>
      <c r="E99" s="6">
        <f>IFERROR(INDEX('Annotator A'!$T$5:$T$44,MATCH($A99,'Annotator A'!$A$5:$A$44,0))&amp;"","")</f>
        <v/>
      </c>
      <c r="F99" s="6">
        <f>IFERROR(INDEX('Annotator B'!$T$5:$T$44,MATCH($A99,'Annotator B'!$A$5:$A$44,0))&amp;"","")</f>
        <v/>
      </c>
      <c r="G99" s="6">
        <f>IF(AND(E99="",F99=""),"",IF(E99=F99,"agree","DIFFER"))</f>
        <v/>
      </c>
      <c r="H99" s="7" t="n"/>
      <c r="I99" s="6">
        <f>IF(H99&lt;&gt;"",H99,IF(G99="agree",E99,""))</f>
        <v/>
      </c>
    </row>
    <row r="100">
      <c r="A100" s="6" t="inlineStr">
        <is>
          <t>L05</t>
        </is>
      </c>
      <c r="B100" s="6" t="inlineStr">
        <is>
          <t>vague</t>
        </is>
      </c>
      <c r="C100" s="6" t="inlineStr">
        <is>
          <t>Risk — Data</t>
        </is>
      </c>
      <c r="D100" s="6" t="inlineStr"/>
      <c r="E100" s="6">
        <f>IFERROR(INDEX('Annotator A'!$U$5:$U$44,MATCH($A100,'Annotator A'!$A$5:$A$44,0))&amp;"","")</f>
        <v/>
      </c>
      <c r="F100" s="6">
        <f>IFERROR(INDEX('Annotator B'!$U$5:$U$44,MATCH($A100,'Annotator B'!$A$5:$A$44,0))&amp;"","")</f>
        <v/>
      </c>
      <c r="G100" s="6">
        <f>IF(AND(E100="",F100=""),"",IF(E100=F100,"agree","DIFFER"))</f>
        <v/>
      </c>
      <c r="H100" s="7" t="n"/>
      <c r="I100" s="6">
        <f>IF(H100&lt;&gt;"",H100,IF(G100="agree",E100,""))</f>
        <v/>
      </c>
    </row>
    <row r="101">
      <c r="A101" s="6" t="inlineStr">
        <is>
          <t>L05</t>
        </is>
      </c>
      <c r="B101" s="6" t="inlineStr">
        <is>
          <t>vague</t>
        </is>
      </c>
      <c r="C101" s="6" t="inlineStr">
        <is>
          <t>Risk — Vendor</t>
        </is>
      </c>
      <c r="D101" s="6" t="inlineStr"/>
      <c r="E101" s="6">
        <f>IFERROR(INDEX('Annotator A'!$V$5:$V$44,MATCH($A101,'Annotator A'!$A$5:$A$44,0))&amp;"","")</f>
        <v/>
      </c>
      <c r="F101" s="6">
        <f>IFERROR(INDEX('Annotator B'!$V$5:$V$44,MATCH($A101,'Annotator B'!$A$5:$A$44,0))&amp;"","")</f>
        <v/>
      </c>
      <c r="G101" s="6">
        <f>IF(AND(E101="",F101=""),"",IF(E101=F101,"agree","DIFFER"))</f>
        <v/>
      </c>
      <c r="H101" s="7" t="n"/>
      <c r="I101" s="6">
        <f>IF(H101&lt;&gt;"",H101,IF(G101="agree",E101,""))</f>
        <v/>
      </c>
    </row>
    <row r="102">
      <c r="A102" s="6" t="inlineStr">
        <is>
          <t>L06</t>
        </is>
      </c>
      <c r="B102" s="6" t="inlineStr">
        <is>
          <t>vague</t>
        </is>
      </c>
      <c r="C102" s="6" t="inlineStr">
        <is>
          <t>Use cases</t>
        </is>
      </c>
      <c r="D102" s="6" t="inlineStr"/>
      <c r="E102" s="6">
        <f>IFERROR(INDEX('Annotator A'!$C$5:$C$44,MATCH($A102,'Annotator A'!$A$5:$A$44,0))&amp;"","")</f>
        <v/>
      </c>
      <c r="F102" s="6">
        <f>IFERROR(INDEX('Annotator B'!$C$5:$C$44,MATCH($A102,'Annotator B'!$A$5:$A$44,0))&amp;"","")</f>
        <v/>
      </c>
      <c r="G102" s="6" t="inlineStr">
        <is>
          <t>read both</t>
        </is>
      </c>
      <c r="H102" s="7" t="n"/>
      <c r="I102" s="6">
        <f>IF(H102&lt;&gt;"",H102,"")</f>
        <v/>
      </c>
    </row>
    <row r="103">
      <c r="A103" s="6" t="inlineStr">
        <is>
          <t>L06</t>
        </is>
      </c>
      <c r="B103" s="6" t="inlineStr">
        <is>
          <t>vague</t>
        </is>
      </c>
      <c r="C103" s="6" t="inlineStr">
        <is>
          <t>Value — Business impact</t>
        </is>
      </c>
      <c r="D103" s="6" t="inlineStr"/>
      <c r="E103" s="6">
        <f>IFERROR(INDEX('Annotator A'!$D$5:$D$44,MATCH($A103,'Annotator A'!$A$5:$A$44,0))&amp;"","")</f>
        <v/>
      </c>
      <c r="F103" s="6">
        <f>IFERROR(INDEX('Annotator B'!$D$5:$D$44,MATCH($A103,'Annotator B'!$A$5:$A$44,0))&amp;"","")</f>
        <v/>
      </c>
      <c r="G103" s="6">
        <f>IF(AND(E103="",F103=""),"",IF(E103=F103,"agree","DIFFER"))</f>
        <v/>
      </c>
      <c r="H103" s="7" t="n"/>
      <c r="I103" s="6">
        <f>IF(H103&lt;&gt;"",H103,IF(G103="agree",E103,""))</f>
        <v/>
      </c>
    </row>
    <row r="104">
      <c r="A104" s="6" t="inlineStr">
        <is>
          <t>L06</t>
        </is>
      </c>
      <c r="B104" s="6" t="inlineStr">
        <is>
          <t>vague</t>
        </is>
      </c>
      <c r="C104" s="6" t="inlineStr">
        <is>
          <t>Value — Productivity</t>
        </is>
      </c>
      <c r="D104" s="6" t="inlineStr"/>
      <c r="E104" s="6">
        <f>IFERROR(INDEX('Annotator A'!$E$5:$E$44,MATCH($A104,'Annotator A'!$A$5:$A$44,0))&amp;"","")</f>
        <v/>
      </c>
      <c r="F104" s="6">
        <f>IFERROR(INDEX('Annotator B'!$E$5:$E$44,MATCH($A104,'Annotator B'!$A$5:$A$44,0))&amp;"","")</f>
        <v/>
      </c>
      <c r="G104" s="6">
        <f>IF(AND(E104="",F104=""),"",IF(E104=F104,"agree","DIFFER"))</f>
        <v/>
      </c>
      <c r="H104" s="7" t="n"/>
      <c r="I104" s="6">
        <f>IF(H104&lt;&gt;"",H104,IF(G104="agree",E104,""))</f>
        <v/>
      </c>
    </row>
    <row r="105">
      <c r="A105" s="6" t="inlineStr">
        <is>
          <t>L06</t>
        </is>
      </c>
      <c r="B105" s="6" t="inlineStr">
        <is>
          <t>vague</t>
        </is>
      </c>
      <c r="C105" s="6" t="inlineStr">
        <is>
          <t>Value — Cost reduction</t>
        </is>
      </c>
      <c r="D105" s="6" t="inlineStr"/>
      <c r="E105" s="6">
        <f>IFERROR(INDEX('Annotator A'!$F$5:$F$44,MATCH($A105,'Annotator A'!$A$5:$A$44,0))&amp;"","")</f>
        <v/>
      </c>
      <c r="F105" s="6">
        <f>IFERROR(INDEX('Annotator B'!$F$5:$F$44,MATCH($A105,'Annotator B'!$A$5:$A$44,0))&amp;"","")</f>
        <v/>
      </c>
      <c r="G105" s="6">
        <f>IF(AND(E105="",F105=""),"",IF(E105=F105,"agree","DIFFER"))</f>
        <v/>
      </c>
      <c r="H105" s="7" t="n"/>
      <c r="I105" s="6">
        <f>IF(H105&lt;&gt;"",H105,IF(G105="agree",E105,""))</f>
        <v/>
      </c>
    </row>
    <row r="106">
      <c r="A106" s="6" t="inlineStr">
        <is>
          <t>L06</t>
        </is>
      </c>
      <c r="B106" s="6" t="inlineStr">
        <is>
          <t>vague</t>
        </is>
      </c>
      <c r="C106" s="6" t="inlineStr">
        <is>
          <t>Value — Revenue</t>
        </is>
      </c>
      <c r="D106" s="6" t="inlineStr"/>
      <c r="E106" s="6">
        <f>IFERROR(INDEX('Annotator A'!$G$5:$G$44,MATCH($A106,'Annotator A'!$A$5:$A$44,0))&amp;"","")</f>
        <v/>
      </c>
      <c r="F106" s="6">
        <f>IFERROR(INDEX('Annotator B'!$G$5:$G$44,MATCH($A106,'Annotator B'!$A$5:$A$44,0))&amp;"","")</f>
        <v/>
      </c>
      <c r="G106" s="6">
        <f>IF(AND(E106="",F106=""),"",IF(E106=F106,"agree","DIFFER"))</f>
        <v/>
      </c>
      <c r="H106" s="7" t="n"/>
      <c r="I106" s="6">
        <f>IF(H106&lt;&gt;"",H106,IF(G106="agree",E106,""))</f>
        <v/>
      </c>
    </row>
    <row r="107">
      <c r="A107" s="6" t="inlineStr">
        <is>
          <t>L06</t>
        </is>
      </c>
      <c r="B107" s="6" t="inlineStr">
        <is>
          <t>vague</t>
        </is>
      </c>
      <c r="C107" s="6" t="inlineStr">
        <is>
          <t>Value — Employee experience</t>
        </is>
      </c>
      <c r="D107" s="6" t="inlineStr"/>
      <c r="E107" s="6">
        <f>IFERROR(INDEX('Annotator A'!$H$5:$H$44,MATCH($A107,'Annotator A'!$A$5:$A$44,0))&amp;"","")</f>
        <v/>
      </c>
      <c r="F107" s="6">
        <f>IFERROR(INDEX('Annotator B'!$H$5:$H$44,MATCH($A107,'Annotator B'!$A$5:$A$44,0))&amp;"","")</f>
        <v/>
      </c>
      <c r="G107" s="6">
        <f>IF(AND(E107="",F107=""),"",IF(E107=F107,"agree","DIFFER"))</f>
        <v/>
      </c>
      <c r="H107" s="7" t="n"/>
      <c r="I107" s="6">
        <f>IF(H107&lt;&gt;"",H107,IF(G107="agree",E107,""))</f>
        <v/>
      </c>
    </row>
    <row r="108">
      <c r="A108" s="6" t="inlineStr">
        <is>
          <t>L06</t>
        </is>
      </c>
      <c r="B108" s="6" t="inlineStr">
        <is>
          <t>vague</t>
        </is>
      </c>
      <c r="C108" s="6" t="inlineStr">
        <is>
          <t>Value — Customer impact</t>
        </is>
      </c>
      <c r="D108" s="6" t="inlineStr"/>
      <c r="E108" s="6">
        <f>IFERROR(INDEX('Annotator A'!$I$5:$I$44,MATCH($A108,'Annotator A'!$A$5:$A$44,0))&amp;"","")</f>
        <v/>
      </c>
      <c r="F108" s="6">
        <f>IFERROR(INDEX('Annotator B'!$I$5:$I$44,MATCH($A108,'Annotator B'!$A$5:$A$44,0))&amp;"","")</f>
        <v/>
      </c>
      <c r="G108" s="6">
        <f>IF(AND(E108="",F108=""),"",IF(E108=F108,"agree","DIFFER"))</f>
        <v/>
      </c>
      <c r="H108" s="7" t="n"/>
      <c r="I108" s="6">
        <f>IF(H108&lt;&gt;"",H108,IF(G108="agree",E108,""))</f>
        <v/>
      </c>
    </row>
    <row r="109">
      <c r="A109" s="6" t="inlineStr">
        <is>
          <t>L06</t>
        </is>
      </c>
      <c r="B109" s="6" t="inlineStr">
        <is>
          <t>vague</t>
        </is>
      </c>
      <c r="C109" s="6" t="inlineStr">
        <is>
          <t>Value — Operational</t>
        </is>
      </c>
      <c r="D109" s="6" t="inlineStr"/>
      <c r="E109" s="6">
        <f>IFERROR(INDEX('Annotator A'!$J$5:$J$44,MATCH($A109,'Annotator A'!$A$5:$A$44,0))&amp;"","")</f>
        <v/>
      </c>
      <c r="F109" s="6">
        <f>IFERROR(INDEX('Annotator B'!$J$5:$J$44,MATCH($A109,'Annotator B'!$A$5:$A$44,0))&amp;"","")</f>
        <v/>
      </c>
      <c r="G109" s="6">
        <f>IF(AND(E109="",F109=""),"",IF(E109=F109,"agree","DIFFER"))</f>
        <v/>
      </c>
      <c r="H109" s="7" t="n"/>
      <c r="I109" s="6">
        <f>IF(H109&lt;&gt;"",H109,IF(G109="agree",E109,""))</f>
        <v/>
      </c>
    </row>
    <row r="110">
      <c r="A110" s="6" t="inlineStr">
        <is>
          <t>L06</t>
        </is>
      </c>
      <c r="B110" s="6" t="inlineStr">
        <is>
          <t>vague</t>
        </is>
      </c>
      <c r="C110" s="6" t="inlineStr">
        <is>
          <t>Value — Problem severity</t>
        </is>
      </c>
      <c r="D110" s="6" t="inlineStr"/>
      <c r="E110" s="6">
        <f>IFERROR(INDEX('Annotator A'!$K$5:$K$44,MATCH($A110,'Annotator A'!$A$5:$A$44,0))&amp;"","")</f>
        <v/>
      </c>
      <c r="F110" s="6">
        <f>IFERROR(INDEX('Annotator B'!$K$5:$K$44,MATCH($A110,'Annotator B'!$A$5:$A$44,0))&amp;"","")</f>
        <v/>
      </c>
      <c r="G110" s="6">
        <f>IF(AND(E110="",F110=""),"",IF(E110=F110,"agree","DIFFER"))</f>
        <v/>
      </c>
      <c r="H110" s="7" t="n"/>
      <c r="I110" s="6">
        <f>IF(H110&lt;&gt;"",H110,IF(G110="agree",E110,""))</f>
        <v/>
      </c>
    </row>
    <row r="111">
      <c r="A111" s="6" t="inlineStr">
        <is>
          <t>L06</t>
        </is>
      </c>
      <c r="B111" s="6" t="inlineStr">
        <is>
          <t>vague</t>
        </is>
      </c>
      <c r="C111" s="6" t="inlineStr">
        <is>
          <t>Value — Problem frequency</t>
        </is>
      </c>
      <c r="D111" s="6" t="inlineStr"/>
      <c r="E111" s="6">
        <f>IFERROR(INDEX('Annotator A'!$L$5:$L$44,MATCH($A111,'Annotator A'!$A$5:$A$44,0))&amp;"","")</f>
        <v/>
      </c>
      <c r="F111" s="6">
        <f>IFERROR(INDEX('Annotator B'!$L$5:$L$44,MATCH($A111,'Annotator B'!$A$5:$A$44,0))&amp;"","")</f>
        <v/>
      </c>
      <c r="G111" s="6">
        <f>IF(AND(E111="",F111=""),"",IF(E111=F111,"agree","DIFFER"))</f>
        <v/>
      </c>
      <c r="H111" s="7" t="n"/>
      <c r="I111" s="6">
        <f>IF(H111&lt;&gt;"",H111,IF(G111="agree",E111,""))</f>
        <v/>
      </c>
    </row>
    <row r="112">
      <c r="A112" s="6" t="inlineStr">
        <is>
          <t>L06</t>
        </is>
      </c>
      <c r="B112" s="6" t="inlineStr">
        <is>
          <t>vague</t>
        </is>
      </c>
      <c r="C112" s="6" t="inlineStr">
        <is>
          <t>Feasibility status</t>
        </is>
      </c>
      <c r="D112" s="6" t="inlineStr"/>
      <c r="E112" s="6">
        <f>IFERROR(INDEX('Annotator A'!$M$5:$M$44,MATCH($A112,'Annotator A'!$A$5:$A$44,0))&amp;"","")</f>
        <v/>
      </c>
      <c r="F112" s="6">
        <f>IFERROR(INDEX('Annotator B'!$M$5:$M$44,MATCH($A112,'Annotator B'!$A$5:$A$44,0))&amp;"","")</f>
        <v/>
      </c>
      <c r="G112" s="6">
        <f>IF(AND(E112="",F112=""),"",IF(E112=F112,"agree","DIFFER"))</f>
        <v/>
      </c>
      <c r="H112" s="7" t="n"/>
      <c r="I112" s="6">
        <f>IF(H112&lt;&gt;"",H112,IF(G112="agree",E112,""))</f>
        <v/>
      </c>
    </row>
    <row r="113">
      <c r="A113" s="6" t="inlineStr">
        <is>
          <t>L06</t>
        </is>
      </c>
      <c r="B113" s="6" t="inlineStr">
        <is>
          <t>vague</t>
        </is>
      </c>
      <c r="C113" s="6" t="inlineStr">
        <is>
          <t>Risk — Technical</t>
        </is>
      </c>
      <c r="D113" s="6" t="inlineStr"/>
      <c r="E113" s="6">
        <f>IFERROR(INDEX('Annotator A'!$N$5:$N$44,MATCH($A113,'Annotator A'!$A$5:$A$44,0))&amp;"","")</f>
        <v/>
      </c>
      <c r="F113" s="6">
        <f>IFERROR(INDEX('Annotator B'!$N$5:$N$44,MATCH($A113,'Annotator B'!$A$5:$A$44,0))&amp;"","")</f>
        <v/>
      </c>
      <c r="G113" s="6">
        <f>IF(AND(E113="",F113=""),"",IF(E113=F113,"agree","DIFFER"))</f>
        <v/>
      </c>
      <c r="H113" s="7" t="n"/>
      <c r="I113" s="6">
        <f>IF(H113&lt;&gt;"",H113,IF(G113="agree",E113,""))</f>
        <v/>
      </c>
    </row>
    <row r="114">
      <c r="A114" s="6" t="inlineStr">
        <is>
          <t>L06</t>
        </is>
      </c>
      <c r="B114" s="6" t="inlineStr">
        <is>
          <t>vague</t>
        </is>
      </c>
      <c r="C114" s="6" t="inlineStr">
        <is>
          <t>Risk — Security</t>
        </is>
      </c>
      <c r="D114" s="6" t="inlineStr"/>
      <c r="E114" s="6">
        <f>IFERROR(INDEX('Annotator A'!$O$5:$O$44,MATCH($A114,'Annotator A'!$A$5:$A$44,0))&amp;"","")</f>
        <v/>
      </c>
      <c r="F114" s="6">
        <f>IFERROR(INDEX('Annotator B'!$O$5:$O$44,MATCH($A114,'Annotator B'!$A$5:$A$44,0))&amp;"","")</f>
        <v/>
      </c>
      <c r="G114" s="6">
        <f>IF(AND(E114="",F114=""),"",IF(E114=F114,"agree","DIFFER"))</f>
        <v/>
      </c>
      <c r="H114" s="7" t="n"/>
      <c r="I114" s="6">
        <f>IF(H114&lt;&gt;"",H114,IF(G114="agree",E114,""))</f>
        <v/>
      </c>
    </row>
    <row r="115">
      <c r="A115" s="6" t="inlineStr">
        <is>
          <t>L06</t>
        </is>
      </c>
      <c r="B115" s="6" t="inlineStr">
        <is>
          <t>vague</t>
        </is>
      </c>
      <c r="C115" s="6" t="inlineStr">
        <is>
          <t>Risk — Privacy</t>
        </is>
      </c>
      <c r="D115" s="6" t="inlineStr"/>
      <c r="E115" s="6">
        <f>IFERROR(INDEX('Annotator A'!$P$5:$P$44,MATCH($A115,'Annotator A'!$A$5:$A$44,0))&amp;"","")</f>
        <v/>
      </c>
      <c r="F115" s="6">
        <f>IFERROR(INDEX('Annotator B'!$P$5:$P$44,MATCH($A115,'Annotator B'!$A$5:$A$44,0))&amp;"","")</f>
        <v/>
      </c>
      <c r="G115" s="6">
        <f>IF(AND(E115="",F115=""),"",IF(E115=F115,"agree","DIFFER"))</f>
        <v/>
      </c>
      <c r="H115" s="7" t="n"/>
      <c r="I115" s="6">
        <f>IF(H115&lt;&gt;"",H115,IF(G115="agree",E115,""))</f>
        <v/>
      </c>
    </row>
    <row r="116">
      <c r="A116" s="6" t="inlineStr">
        <is>
          <t>L06</t>
        </is>
      </c>
      <c r="B116" s="6" t="inlineStr">
        <is>
          <t>vague</t>
        </is>
      </c>
      <c r="C116" s="6" t="inlineStr">
        <is>
          <t>Risk — Compliance</t>
        </is>
      </c>
      <c r="D116" s="6" t="inlineStr"/>
      <c r="E116" s="6">
        <f>IFERROR(INDEX('Annotator A'!$Q$5:$Q$44,MATCH($A116,'Annotator A'!$A$5:$A$44,0))&amp;"","")</f>
        <v/>
      </c>
      <c r="F116" s="6">
        <f>IFERROR(INDEX('Annotator B'!$Q$5:$Q$44,MATCH($A116,'Annotator B'!$A$5:$A$44,0))&amp;"","")</f>
        <v/>
      </c>
      <c r="G116" s="6">
        <f>IF(AND(E116="",F116=""),"",IF(E116=F116,"agree","DIFFER"))</f>
        <v/>
      </c>
      <c r="H116" s="7" t="n"/>
      <c r="I116" s="6">
        <f>IF(H116&lt;&gt;"",H116,IF(G116="agree",E116,""))</f>
        <v/>
      </c>
    </row>
    <row r="117">
      <c r="A117" s="6" t="inlineStr">
        <is>
          <t>L06</t>
        </is>
      </c>
      <c r="B117" s="6" t="inlineStr">
        <is>
          <t>vague</t>
        </is>
      </c>
      <c r="C117" s="6" t="inlineStr">
        <is>
          <t>Risk — Financial</t>
        </is>
      </c>
      <c r="D117" s="6" t="inlineStr"/>
      <c r="E117" s="6">
        <f>IFERROR(INDEX('Annotator A'!$R$5:$R$44,MATCH($A117,'Annotator A'!$A$5:$A$44,0))&amp;"","")</f>
        <v/>
      </c>
      <c r="F117" s="6">
        <f>IFERROR(INDEX('Annotator B'!$R$5:$R$44,MATCH($A117,'Annotator B'!$A$5:$A$44,0))&amp;"","")</f>
        <v/>
      </c>
      <c r="G117" s="6">
        <f>IF(AND(E117="",F117=""),"",IF(E117=F117,"agree","DIFFER"))</f>
        <v/>
      </c>
      <c r="H117" s="7" t="n"/>
      <c r="I117" s="6">
        <f>IF(H117&lt;&gt;"",H117,IF(G117="agree",E117,""))</f>
        <v/>
      </c>
    </row>
    <row r="118">
      <c r="A118" s="6" t="inlineStr">
        <is>
          <t>L06</t>
        </is>
      </c>
      <c r="B118" s="6" t="inlineStr">
        <is>
          <t>vague</t>
        </is>
      </c>
      <c r="C118" s="6" t="inlineStr">
        <is>
          <t>Risk — Operational</t>
        </is>
      </c>
      <c r="D118" s="6" t="inlineStr"/>
      <c r="E118" s="6">
        <f>IFERROR(INDEX('Annotator A'!$S$5:$S$44,MATCH($A118,'Annotator A'!$A$5:$A$44,0))&amp;"","")</f>
        <v/>
      </c>
      <c r="F118" s="6">
        <f>IFERROR(INDEX('Annotator B'!$S$5:$S$44,MATCH($A118,'Annotator B'!$A$5:$A$44,0))&amp;"","")</f>
        <v/>
      </c>
      <c r="G118" s="6">
        <f>IF(AND(E118="",F118=""),"",IF(E118=F118,"agree","DIFFER"))</f>
        <v/>
      </c>
      <c r="H118" s="7" t="n"/>
      <c r="I118" s="6">
        <f>IF(H118&lt;&gt;"",H118,IF(G118="agree",E118,""))</f>
        <v/>
      </c>
    </row>
    <row r="119">
      <c r="A119" s="6" t="inlineStr">
        <is>
          <t>L06</t>
        </is>
      </c>
      <c r="B119" s="6" t="inlineStr">
        <is>
          <t>vague</t>
        </is>
      </c>
      <c r="C119" s="6" t="inlineStr">
        <is>
          <t>Risk — Adoption</t>
        </is>
      </c>
      <c r="D119" s="6" t="inlineStr"/>
      <c r="E119" s="6">
        <f>IFERROR(INDEX('Annotator A'!$T$5:$T$44,MATCH($A119,'Annotator A'!$A$5:$A$44,0))&amp;"","")</f>
        <v/>
      </c>
      <c r="F119" s="6">
        <f>IFERROR(INDEX('Annotator B'!$T$5:$T$44,MATCH($A119,'Annotator B'!$A$5:$A$44,0))&amp;"","")</f>
        <v/>
      </c>
      <c r="G119" s="6">
        <f>IF(AND(E119="",F119=""),"",IF(E119=F119,"agree","DIFFER"))</f>
        <v/>
      </c>
      <c r="H119" s="7" t="n"/>
      <c r="I119" s="6">
        <f>IF(H119&lt;&gt;"",H119,IF(G119="agree",E119,""))</f>
        <v/>
      </c>
    </row>
    <row r="120">
      <c r="A120" s="6" t="inlineStr">
        <is>
          <t>L06</t>
        </is>
      </c>
      <c r="B120" s="6" t="inlineStr">
        <is>
          <t>vague</t>
        </is>
      </c>
      <c r="C120" s="6" t="inlineStr">
        <is>
          <t>Risk — Data</t>
        </is>
      </c>
      <c r="D120" s="6" t="inlineStr"/>
      <c r="E120" s="6">
        <f>IFERROR(INDEX('Annotator A'!$U$5:$U$44,MATCH($A120,'Annotator A'!$A$5:$A$44,0))&amp;"","")</f>
        <v/>
      </c>
      <c r="F120" s="6">
        <f>IFERROR(INDEX('Annotator B'!$U$5:$U$44,MATCH($A120,'Annotator B'!$A$5:$A$44,0))&amp;"","")</f>
        <v/>
      </c>
      <c r="G120" s="6">
        <f>IF(AND(E120="",F120=""),"",IF(E120=F120,"agree","DIFFER"))</f>
        <v/>
      </c>
      <c r="H120" s="7" t="n"/>
      <c r="I120" s="6">
        <f>IF(H120&lt;&gt;"",H120,IF(G120="agree",E120,""))</f>
        <v/>
      </c>
    </row>
    <row r="121">
      <c r="A121" s="6" t="inlineStr">
        <is>
          <t>L06</t>
        </is>
      </c>
      <c r="B121" s="6" t="inlineStr">
        <is>
          <t>vague</t>
        </is>
      </c>
      <c r="C121" s="6" t="inlineStr">
        <is>
          <t>Risk — Vendor</t>
        </is>
      </c>
      <c r="D121" s="6" t="inlineStr"/>
      <c r="E121" s="6">
        <f>IFERROR(INDEX('Annotator A'!$V$5:$V$44,MATCH($A121,'Annotator A'!$A$5:$A$44,0))&amp;"","")</f>
        <v/>
      </c>
      <c r="F121" s="6">
        <f>IFERROR(INDEX('Annotator B'!$V$5:$V$44,MATCH($A121,'Annotator B'!$A$5:$A$44,0))&amp;"","")</f>
        <v/>
      </c>
      <c r="G121" s="6">
        <f>IF(AND(E121="",F121=""),"",IF(E121=F121,"agree","DIFFER"))</f>
        <v/>
      </c>
      <c r="H121" s="7" t="n"/>
      <c r="I121" s="6">
        <f>IF(H121&lt;&gt;"",H121,IF(G121="agree",E121,""))</f>
        <v/>
      </c>
    </row>
    <row r="122">
      <c r="A122" s="6" t="inlineStr">
        <is>
          <t>L07</t>
        </is>
      </c>
      <c r="B122" s="6" t="inlineStr">
        <is>
          <t>infeasible</t>
        </is>
      </c>
      <c r="C122" s="6" t="inlineStr">
        <is>
          <t>Use cases</t>
        </is>
      </c>
      <c r="D122" s="6" t="inlineStr"/>
      <c r="E122" s="6">
        <f>IFERROR(INDEX('Annotator A'!$C$5:$C$44,MATCH($A122,'Annotator A'!$A$5:$A$44,0))&amp;"","")</f>
        <v/>
      </c>
      <c r="F122" s="6">
        <f>IFERROR(INDEX('Annotator B'!$C$5:$C$44,MATCH($A122,'Annotator B'!$A$5:$A$44,0))&amp;"","")</f>
        <v/>
      </c>
      <c r="G122" s="6" t="inlineStr">
        <is>
          <t>read both</t>
        </is>
      </c>
      <c r="H122" s="7" t="n"/>
      <c r="I122" s="6">
        <f>IF(H122&lt;&gt;"",H122,"")</f>
        <v/>
      </c>
    </row>
    <row r="123">
      <c r="A123" s="6" t="inlineStr">
        <is>
          <t>L07</t>
        </is>
      </c>
      <c r="B123" s="6" t="inlineStr">
        <is>
          <t>infeasible</t>
        </is>
      </c>
      <c r="C123" s="6" t="inlineStr">
        <is>
          <t>Value — Business impact</t>
        </is>
      </c>
      <c r="D123" s="6" t="inlineStr"/>
      <c r="E123" s="6">
        <f>IFERROR(INDEX('Annotator A'!$D$5:$D$44,MATCH($A123,'Annotator A'!$A$5:$A$44,0))&amp;"","")</f>
        <v/>
      </c>
      <c r="F123" s="6">
        <f>IFERROR(INDEX('Annotator B'!$D$5:$D$44,MATCH($A123,'Annotator B'!$A$5:$A$44,0))&amp;"","")</f>
        <v/>
      </c>
      <c r="G123" s="6">
        <f>IF(AND(E123="",F123=""),"",IF(E123=F123,"agree","DIFFER"))</f>
        <v/>
      </c>
      <c r="H123" s="7" t="n"/>
      <c r="I123" s="6">
        <f>IF(H123&lt;&gt;"",H123,IF(G123="agree",E123,""))</f>
        <v/>
      </c>
    </row>
    <row r="124">
      <c r="A124" s="6" t="inlineStr">
        <is>
          <t>L07</t>
        </is>
      </c>
      <c r="B124" s="6" t="inlineStr">
        <is>
          <t>infeasible</t>
        </is>
      </c>
      <c r="C124" s="6" t="inlineStr">
        <is>
          <t>Value — Productivity</t>
        </is>
      </c>
      <c r="D124" s="6" t="inlineStr"/>
      <c r="E124" s="6">
        <f>IFERROR(INDEX('Annotator A'!$E$5:$E$44,MATCH($A124,'Annotator A'!$A$5:$A$44,0))&amp;"","")</f>
        <v/>
      </c>
      <c r="F124" s="6">
        <f>IFERROR(INDEX('Annotator B'!$E$5:$E$44,MATCH($A124,'Annotator B'!$A$5:$A$44,0))&amp;"","")</f>
        <v/>
      </c>
      <c r="G124" s="6">
        <f>IF(AND(E124="",F124=""),"",IF(E124=F124,"agree","DIFFER"))</f>
        <v/>
      </c>
      <c r="H124" s="7" t="n"/>
      <c r="I124" s="6">
        <f>IF(H124&lt;&gt;"",H124,IF(G124="agree",E124,""))</f>
        <v/>
      </c>
    </row>
    <row r="125">
      <c r="A125" s="6" t="inlineStr">
        <is>
          <t>L07</t>
        </is>
      </c>
      <c r="B125" s="6" t="inlineStr">
        <is>
          <t>infeasible</t>
        </is>
      </c>
      <c r="C125" s="6" t="inlineStr">
        <is>
          <t>Value — Cost reduction</t>
        </is>
      </c>
      <c r="D125" s="6" t="inlineStr"/>
      <c r="E125" s="6">
        <f>IFERROR(INDEX('Annotator A'!$F$5:$F$44,MATCH($A125,'Annotator A'!$A$5:$A$44,0))&amp;"","")</f>
        <v/>
      </c>
      <c r="F125" s="6">
        <f>IFERROR(INDEX('Annotator B'!$F$5:$F$44,MATCH($A125,'Annotator B'!$A$5:$A$44,0))&amp;"","")</f>
        <v/>
      </c>
      <c r="G125" s="6">
        <f>IF(AND(E125="",F125=""),"",IF(E125=F125,"agree","DIFFER"))</f>
        <v/>
      </c>
      <c r="H125" s="7" t="n"/>
      <c r="I125" s="6">
        <f>IF(H125&lt;&gt;"",H125,IF(G125="agree",E125,""))</f>
        <v/>
      </c>
    </row>
    <row r="126">
      <c r="A126" s="6" t="inlineStr">
        <is>
          <t>L07</t>
        </is>
      </c>
      <c r="B126" s="6" t="inlineStr">
        <is>
          <t>infeasible</t>
        </is>
      </c>
      <c r="C126" s="6" t="inlineStr">
        <is>
          <t>Value — Revenue</t>
        </is>
      </c>
      <c r="D126" s="6" t="inlineStr"/>
      <c r="E126" s="6">
        <f>IFERROR(INDEX('Annotator A'!$G$5:$G$44,MATCH($A126,'Annotator A'!$A$5:$A$44,0))&amp;"","")</f>
        <v/>
      </c>
      <c r="F126" s="6">
        <f>IFERROR(INDEX('Annotator B'!$G$5:$G$44,MATCH($A126,'Annotator B'!$A$5:$A$44,0))&amp;"","")</f>
        <v/>
      </c>
      <c r="G126" s="6">
        <f>IF(AND(E126="",F126=""),"",IF(E126=F126,"agree","DIFFER"))</f>
        <v/>
      </c>
      <c r="H126" s="7" t="n"/>
      <c r="I126" s="6">
        <f>IF(H126&lt;&gt;"",H126,IF(G126="agree",E126,""))</f>
        <v/>
      </c>
    </row>
    <row r="127">
      <c r="A127" s="6" t="inlineStr">
        <is>
          <t>L07</t>
        </is>
      </c>
      <c r="B127" s="6" t="inlineStr">
        <is>
          <t>infeasible</t>
        </is>
      </c>
      <c r="C127" s="6" t="inlineStr">
        <is>
          <t>Value — Employee experience</t>
        </is>
      </c>
      <c r="D127" s="6" t="inlineStr"/>
      <c r="E127" s="6">
        <f>IFERROR(INDEX('Annotator A'!$H$5:$H$44,MATCH($A127,'Annotator A'!$A$5:$A$44,0))&amp;"","")</f>
        <v/>
      </c>
      <c r="F127" s="6">
        <f>IFERROR(INDEX('Annotator B'!$H$5:$H$44,MATCH($A127,'Annotator B'!$A$5:$A$44,0))&amp;"","")</f>
        <v/>
      </c>
      <c r="G127" s="6">
        <f>IF(AND(E127="",F127=""),"",IF(E127=F127,"agree","DIFFER"))</f>
        <v/>
      </c>
      <c r="H127" s="7" t="n"/>
      <c r="I127" s="6">
        <f>IF(H127&lt;&gt;"",H127,IF(G127="agree",E127,""))</f>
        <v/>
      </c>
    </row>
    <row r="128">
      <c r="A128" s="6" t="inlineStr">
        <is>
          <t>L07</t>
        </is>
      </c>
      <c r="B128" s="6" t="inlineStr">
        <is>
          <t>infeasible</t>
        </is>
      </c>
      <c r="C128" s="6" t="inlineStr">
        <is>
          <t>Value — Customer impact</t>
        </is>
      </c>
      <c r="D128" s="6" t="inlineStr"/>
      <c r="E128" s="6">
        <f>IFERROR(INDEX('Annotator A'!$I$5:$I$44,MATCH($A128,'Annotator A'!$A$5:$A$44,0))&amp;"","")</f>
        <v/>
      </c>
      <c r="F128" s="6">
        <f>IFERROR(INDEX('Annotator B'!$I$5:$I$44,MATCH($A128,'Annotator B'!$A$5:$A$44,0))&amp;"","")</f>
        <v/>
      </c>
      <c r="G128" s="6">
        <f>IF(AND(E128="",F128=""),"",IF(E128=F128,"agree","DIFFER"))</f>
        <v/>
      </c>
      <c r="H128" s="7" t="n"/>
      <c r="I128" s="6">
        <f>IF(H128&lt;&gt;"",H128,IF(G128="agree",E128,""))</f>
        <v/>
      </c>
    </row>
    <row r="129">
      <c r="A129" s="6" t="inlineStr">
        <is>
          <t>L07</t>
        </is>
      </c>
      <c r="B129" s="6" t="inlineStr">
        <is>
          <t>infeasible</t>
        </is>
      </c>
      <c r="C129" s="6" t="inlineStr">
        <is>
          <t>Value — Operational</t>
        </is>
      </c>
      <c r="D129" s="6" t="inlineStr"/>
      <c r="E129" s="6">
        <f>IFERROR(INDEX('Annotator A'!$J$5:$J$44,MATCH($A129,'Annotator A'!$A$5:$A$44,0))&amp;"","")</f>
        <v/>
      </c>
      <c r="F129" s="6">
        <f>IFERROR(INDEX('Annotator B'!$J$5:$J$44,MATCH($A129,'Annotator B'!$A$5:$A$44,0))&amp;"","")</f>
        <v/>
      </c>
      <c r="G129" s="6">
        <f>IF(AND(E129="",F129=""),"",IF(E129=F129,"agree","DIFFER"))</f>
        <v/>
      </c>
      <c r="H129" s="7" t="n"/>
      <c r="I129" s="6">
        <f>IF(H129&lt;&gt;"",H129,IF(G129="agree",E129,""))</f>
        <v/>
      </c>
    </row>
    <row r="130">
      <c r="A130" s="6" t="inlineStr">
        <is>
          <t>L07</t>
        </is>
      </c>
      <c r="B130" s="6" t="inlineStr">
        <is>
          <t>infeasible</t>
        </is>
      </c>
      <c r="C130" s="6" t="inlineStr">
        <is>
          <t>Value — Problem severity</t>
        </is>
      </c>
      <c r="D130" s="6" t="inlineStr">
        <is>
          <t>Low</t>
        </is>
      </c>
      <c r="E130" s="6">
        <f>IFERROR(INDEX('Annotator A'!$K$5:$K$44,MATCH($A130,'Annotator A'!$A$5:$A$44,0))&amp;"","")</f>
        <v/>
      </c>
      <c r="F130" s="6">
        <f>IFERROR(INDEX('Annotator B'!$K$5:$K$44,MATCH($A130,'Annotator B'!$A$5:$A$44,0))&amp;"","")</f>
        <v/>
      </c>
      <c r="G130" s="6">
        <f>IF(AND(E130="",F130=""),"",IF(E130=F130,"agree","DIFFER"))</f>
        <v/>
      </c>
      <c r="H130" s="7" t="n"/>
      <c r="I130" s="6">
        <f>IF(H130&lt;&gt;"",H130,IF(G130="agree",E130,""))</f>
        <v/>
      </c>
    </row>
    <row r="131">
      <c r="A131" s="6" t="inlineStr">
        <is>
          <t>L07</t>
        </is>
      </c>
      <c r="B131" s="6" t="inlineStr">
        <is>
          <t>infeasible</t>
        </is>
      </c>
      <c r="C131" s="6" t="inlineStr">
        <is>
          <t>Value — Problem frequency</t>
        </is>
      </c>
      <c r="D131" s="6" t="inlineStr"/>
      <c r="E131" s="6">
        <f>IFERROR(INDEX('Annotator A'!$L$5:$L$44,MATCH($A131,'Annotator A'!$A$5:$A$44,0))&amp;"","")</f>
        <v/>
      </c>
      <c r="F131" s="6">
        <f>IFERROR(INDEX('Annotator B'!$L$5:$L$44,MATCH($A131,'Annotator B'!$A$5:$A$44,0))&amp;"","")</f>
        <v/>
      </c>
      <c r="G131" s="6">
        <f>IF(AND(E131="",F131=""),"",IF(E131=F131,"agree","DIFFER"))</f>
        <v/>
      </c>
      <c r="H131" s="7" t="n"/>
      <c r="I131" s="6">
        <f>IF(H131&lt;&gt;"",H131,IF(G131="agree",E131,""))</f>
        <v/>
      </c>
    </row>
    <row r="132">
      <c r="A132" s="6" t="inlineStr">
        <is>
          <t>L07</t>
        </is>
      </c>
      <c r="B132" s="6" t="inlineStr">
        <is>
          <t>infeasible</t>
        </is>
      </c>
      <c r="C132" s="6" t="inlineStr">
        <is>
          <t>Feasibility status</t>
        </is>
      </c>
      <c r="D132" s="6" t="inlineStr">
        <is>
          <t>NOT_CURRENTLY_FEASIBLE</t>
        </is>
      </c>
      <c r="E132" s="6">
        <f>IFERROR(INDEX('Annotator A'!$M$5:$M$44,MATCH($A132,'Annotator A'!$A$5:$A$44,0))&amp;"","")</f>
        <v/>
      </c>
      <c r="F132" s="6">
        <f>IFERROR(INDEX('Annotator B'!$M$5:$M$44,MATCH($A132,'Annotator B'!$A$5:$A$44,0))&amp;"","")</f>
        <v/>
      </c>
      <c r="G132" s="6">
        <f>IF(AND(E132="",F132=""),"",IF(E132=F132,"agree","DIFFER"))</f>
        <v/>
      </c>
      <c r="H132" s="7" t="n"/>
      <c r="I132" s="6">
        <f>IF(H132&lt;&gt;"",H132,IF(G132="agree",E132,""))</f>
        <v/>
      </c>
    </row>
    <row r="133">
      <c r="A133" s="6" t="inlineStr">
        <is>
          <t>L07</t>
        </is>
      </c>
      <c r="B133" s="6" t="inlineStr">
        <is>
          <t>infeasible</t>
        </is>
      </c>
      <c r="C133" s="6" t="inlineStr">
        <is>
          <t>Risk — Technical</t>
        </is>
      </c>
      <c r="D133" s="6" t="inlineStr"/>
      <c r="E133" s="6">
        <f>IFERROR(INDEX('Annotator A'!$N$5:$N$44,MATCH($A133,'Annotator A'!$A$5:$A$44,0))&amp;"","")</f>
        <v/>
      </c>
      <c r="F133" s="6">
        <f>IFERROR(INDEX('Annotator B'!$N$5:$N$44,MATCH($A133,'Annotator B'!$A$5:$A$44,0))&amp;"","")</f>
        <v/>
      </c>
      <c r="G133" s="6">
        <f>IF(AND(E133="",F133=""),"",IF(E133=F133,"agree","DIFFER"))</f>
        <v/>
      </c>
      <c r="H133" s="7" t="n"/>
      <c r="I133" s="6">
        <f>IF(H133&lt;&gt;"",H133,IF(G133="agree",E133,""))</f>
        <v/>
      </c>
    </row>
    <row r="134">
      <c r="A134" s="6" t="inlineStr">
        <is>
          <t>L07</t>
        </is>
      </c>
      <c r="B134" s="6" t="inlineStr">
        <is>
          <t>infeasible</t>
        </is>
      </c>
      <c r="C134" s="6" t="inlineStr">
        <is>
          <t>Risk — Security</t>
        </is>
      </c>
      <c r="D134" s="6" t="inlineStr"/>
      <c r="E134" s="6">
        <f>IFERROR(INDEX('Annotator A'!$O$5:$O$44,MATCH($A134,'Annotator A'!$A$5:$A$44,0))&amp;"","")</f>
        <v/>
      </c>
      <c r="F134" s="6">
        <f>IFERROR(INDEX('Annotator B'!$O$5:$O$44,MATCH($A134,'Annotator B'!$A$5:$A$44,0))&amp;"","")</f>
        <v/>
      </c>
      <c r="G134" s="6">
        <f>IF(AND(E134="",F134=""),"",IF(E134=F134,"agree","DIFFER"))</f>
        <v/>
      </c>
      <c r="H134" s="7" t="n"/>
      <c r="I134" s="6">
        <f>IF(H134&lt;&gt;"",H134,IF(G134="agree",E134,""))</f>
        <v/>
      </c>
    </row>
    <row r="135">
      <c r="A135" s="6" t="inlineStr">
        <is>
          <t>L07</t>
        </is>
      </c>
      <c r="B135" s="6" t="inlineStr">
        <is>
          <t>infeasible</t>
        </is>
      </c>
      <c r="C135" s="6" t="inlineStr">
        <is>
          <t>Risk — Privacy</t>
        </is>
      </c>
      <c r="D135" s="6" t="inlineStr">
        <is>
          <t>Yes</t>
        </is>
      </c>
      <c r="E135" s="6">
        <f>IFERROR(INDEX('Annotator A'!$P$5:$P$44,MATCH($A135,'Annotator A'!$A$5:$A$44,0))&amp;"","")</f>
        <v/>
      </c>
      <c r="F135" s="6">
        <f>IFERROR(INDEX('Annotator B'!$P$5:$P$44,MATCH($A135,'Annotator B'!$A$5:$A$44,0))&amp;"","")</f>
        <v/>
      </c>
      <c r="G135" s="6">
        <f>IF(AND(E135="",F135=""),"",IF(E135=F135,"agree","DIFFER"))</f>
        <v/>
      </c>
      <c r="H135" s="7" t="n"/>
      <c r="I135" s="6">
        <f>IF(H135&lt;&gt;"",H135,IF(G135="agree",E135,""))</f>
        <v/>
      </c>
    </row>
    <row r="136">
      <c r="A136" s="6" t="inlineStr">
        <is>
          <t>L07</t>
        </is>
      </c>
      <c r="B136" s="6" t="inlineStr">
        <is>
          <t>infeasible</t>
        </is>
      </c>
      <c r="C136" s="6" t="inlineStr">
        <is>
          <t>Risk — Compliance</t>
        </is>
      </c>
      <c r="D136" s="6" t="inlineStr">
        <is>
          <t>Yes</t>
        </is>
      </c>
      <c r="E136" s="6">
        <f>IFERROR(INDEX('Annotator A'!$Q$5:$Q$44,MATCH($A136,'Annotator A'!$A$5:$A$44,0))&amp;"","")</f>
        <v/>
      </c>
      <c r="F136" s="6">
        <f>IFERROR(INDEX('Annotator B'!$Q$5:$Q$44,MATCH($A136,'Annotator B'!$A$5:$A$44,0))&amp;"","")</f>
        <v/>
      </c>
      <c r="G136" s="6">
        <f>IF(AND(E136="",F136=""),"",IF(E136=F136,"agree","DIFFER"))</f>
        <v/>
      </c>
      <c r="H136" s="7" t="n"/>
      <c r="I136" s="6">
        <f>IF(H136&lt;&gt;"",H136,IF(G136="agree",E136,""))</f>
        <v/>
      </c>
    </row>
    <row r="137">
      <c r="A137" s="6" t="inlineStr">
        <is>
          <t>L07</t>
        </is>
      </c>
      <c r="B137" s="6" t="inlineStr">
        <is>
          <t>infeasible</t>
        </is>
      </c>
      <c r="C137" s="6" t="inlineStr">
        <is>
          <t>Risk — Financial</t>
        </is>
      </c>
      <c r="D137" s="6" t="inlineStr"/>
      <c r="E137" s="6">
        <f>IFERROR(INDEX('Annotator A'!$R$5:$R$44,MATCH($A137,'Annotator A'!$A$5:$A$44,0))&amp;"","")</f>
        <v/>
      </c>
      <c r="F137" s="6">
        <f>IFERROR(INDEX('Annotator B'!$R$5:$R$44,MATCH($A137,'Annotator B'!$A$5:$A$44,0))&amp;"","")</f>
        <v/>
      </c>
      <c r="G137" s="6">
        <f>IF(AND(E137="",F137=""),"",IF(E137=F137,"agree","DIFFER"))</f>
        <v/>
      </c>
      <c r="H137" s="7" t="n"/>
      <c r="I137" s="6">
        <f>IF(H137&lt;&gt;"",H137,IF(G137="agree",E137,""))</f>
        <v/>
      </c>
    </row>
    <row r="138">
      <c r="A138" s="6" t="inlineStr">
        <is>
          <t>L07</t>
        </is>
      </c>
      <c r="B138" s="6" t="inlineStr">
        <is>
          <t>infeasible</t>
        </is>
      </c>
      <c r="C138" s="6" t="inlineStr">
        <is>
          <t>Risk — Operational</t>
        </is>
      </c>
      <c r="D138" s="6" t="inlineStr"/>
      <c r="E138" s="6">
        <f>IFERROR(INDEX('Annotator A'!$S$5:$S$44,MATCH($A138,'Annotator A'!$A$5:$A$44,0))&amp;"","")</f>
        <v/>
      </c>
      <c r="F138" s="6">
        <f>IFERROR(INDEX('Annotator B'!$S$5:$S$44,MATCH($A138,'Annotator B'!$A$5:$A$44,0))&amp;"","")</f>
        <v/>
      </c>
      <c r="G138" s="6">
        <f>IF(AND(E138="",F138=""),"",IF(E138=F138,"agree","DIFFER"))</f>
        <v/>
      </c>
      <c r="H138" s="7" t="n"/>
      <c r="I138" s="6">
        <f>IF(H138&lt;&gt;"",H138,IF(G138="agree",E138,""))</f>
        <v/>
      </c>
    </row>
    <row r="139">
      <c r="A139" s="6" t="inlineStr">
        <is>
          <t>L07</t>
        </is>
      </c>
      <c r="B139" s="6" t="inlineStr">
        <is>
          <t>infeasible</t>
        </is>
      </c>
      <c r="C139" s="6" t="inlineStr">
        <is>
          <t>Risk — Adoption</t>
        </is>
      </c>
      <c r="D139" s="6" t="inlineStr"/>
      <c r="E139" s="6">
        <f>IFERROR(INDEX('Annotator A'!$T$5:$T$44,MATCH($A139,'Annotator A'!$A$5:$A$44,0))&amp;"","")</f>
        <v/>
      </c>
      <c r="F139" s="6">
        <f>IFERROR(INDEX('Annotator B'!$T$5:$T$44,MATCH($A139,'Annotator B'!$A$5:$A$44,0))&amp;"","")</f>
        <v/>
      </c>
      <c r="G139" s="6">
        <f>IF(AND(E139="",F139=""),"",IF(E139=F139,"agree","DIFFER"))</f>
        <v/>
      </c>
      <c r="H139" s="7" t="n"/>
      <c r="I139" s="6">
        <f>IF(H139&lt;&gt;"",H139,IF(G139="agree",E139,""))</f>
        <v/>
      </c>
    </row>
    <row r="140">
      <c r="A140" s="6" t="inlineStr">
        <is>
          <t>L07</t>
        </is>
      </c>
      <c r="B140" s="6" t="inlineStr">
        <is>
          <t>infeasible</t>
        </is>
      </c>
      <c r="C140" s="6" t="inlineStr">
        <is>
          <t>Risk — Data</t>
        </is>
      </c>
      <c r="D140" s="6" t="inlineStr"/>
      <c r="E140" s="6">
        <f>IFERROR(INDEX('Annotator A'!$U$5:$U$44,MATCH($A140,'Annotator A'!$A$5:$A$44,0))&amp;"","")</f>
        <v/>
      </c>
      <c r="F140" s="6">
        <f>IFERROR(INDEX('Annotator B'!$U$5:$U$44,MATCH($A140,'Annotator B'!$A$5:$A$44,0))&amp;"","")</f>
        <v/>
      </c>
      <c r="G140" s="6">
        <f>IF(AND(E140="",F140=""),"",IF(E140=F140,"agree","DIFFER"))</f>
        <v/>
      </c>
      <c r="H140" s="7" t="n"/>
      <c r="I140" s="6">
        <f>IF(H140&lt;&gt;"",H140,IF(G140="agree",E140,""))</f>
        <v/>
      </c>
    </row>
    <row r="141">
      <c r="A141" s="6" t="inlineStr">
        <is>
          <t>L07</t>
        </is>
      </c>
      <c r="B141" s="6" t="inlineStr">
        <is>
          <t>infeasible</t>
        </is>
      </c>
      <c r="C141" s="6" t="inlineStr">
        <is>
          <t>Risk — Vendor</t>
        </is>
      </c>
      <c r="D141" s="6" t="inlineStr"/>
      <c r="E141" s="6">
        <f>IFERROR(INDEX('Annotator A'!$V$5:$V$44,MATCH($A141,'Annotator A'!$A$5:$A$44,0))&amp;"","")</f>
        <v/>
      </c>
      <c r="F141" s="6">
        <f>IFERROR(INDEX('Annotator B'!$V$5:$V$44,MATCH($A141,'Annotator B'!$A$5:$A$44,0))&amp;"","")</f>
        <v/>
      </c>
      <c r="G141" s="6">
        <f>IF(AND(E141="",F141=""),"",IF(E141=F141,"agree","DIFFER"))</f>
        <v/>
      </c>
      <c r="H141" s="7" t="n"/>
      <c r="I141" s="6">
        <f>IF(H141&lt;&gt;"",H141,IF(G141="agree",E141,""))</f>
        <v/>
      </c>
    </row>
    <row r="142">
      <c r="A142" s="6" t="inlineStr">
        <is>
          <t>L08</t>
        </is>
      </c>
      <c r="B142" s="6" t="inlineStr">
        <is>
          <t>near-duplicate</t>
        </is>
      </c>
      <c r="C142" s="6" t="inlineStr">
        <is>
          <t>Use cases</t>
        </is>
      </c>
      <c r="D142" s="6" t="inlineStr">
        <is>
          <t>trigger laptop ordering and imaging automatically on start-date confirmation</t>
        </is>
      </c>
      <c r="E142" s="6">
        <f>IFERROR(INDEX('Annotator A'!$C$5:$C$44,MATCH($A142,'Annotator A'!$A$5:$A$44,0))&amp;"","")</f>
        <v/>
      </c>
      <c r="F142" s="6">
        <f>IFERROR(INDEX('Annotator B'!$C$5:$C$44,MATCH($A142,'Annotator B'!$A$5:$A$44,0))&amp;"","")</f>
        <v/>
      </c>
      <c r="G142" s="6" t="inlineStr">
        <is>
          <t>read both</t>
        </is>
      </c>
      <c r="H142" s="7" t="n"/>
      <c r="I142" s="6">
        <f>IF(H142&lt;&gt;"",H142,"")</f>
        <v/>
      </c>
    </row>
    <row r="143">
      <c r="A143" s="6" t="inlineStr">
        <is>
          <t>L08</t>
        </is>
      </c>
      <c r="B143" s="6" t="inlineStr">
        <is>
          <t>near-duplicate</t>
        </is>
      </c>
      <c r="C143" s="6" t="inlineStr">
        <is>
          <t>Value — Business impact</t>
        </is>
      </c>
      <c r="D143" s="6" t="inlineStr"/>
      <c r="E143" s="6">
        <f>IFERROR(INDEX('Annotator A'!$D$5:$D$44,MATCH($A143,'Annotator A'!$A$5:$A$44,0))&amp;"","")</f>
        <v/>
      </c>
      <c r="F143" s="6">
        <f>IFERROR(INDEX('Annotator B'!$D$5:$D$44,MATCH($A143,'Annotator B'!$A$5:$A$44,0))&amp;"","")</f>
        <v/>
      </c>
      <c r="G143" s="6">
        <f>IF(AND(E143="",F143=""),"",IF(E143=F143,"agree","DIFFER"))</f>
        <v/>
      </c>
      <c r="H143" s="7" t="n"/>
      <c r="I143" s="6">
        <f>IF(H143&lt;&gt;"",H143,IF(G143="agree",E143,""))</f>
        <v/>
      </c>
    </row>
    <row r="144">
      <c r="A144" s="6" t="inlineStr">
        <is>
          <t>L08</t>
        </is>
      </c>
      <c r="B144" s="6" t="inlineStr">
        <is>
          <t>near-duplicate</t>
        </is>
      </c>
      <c r="C144" s="6" t="inlineStr">
        <is>
          <t>Value — Productivity</t>
        </is>
      </c>
      <c r="D144" s="6" t="inlineStr"/>
      <c r="E144" s="6">
        <f>IFERROR(INDEX('Annotator A'!$E$5:$E$44,MATCH($A144,'Annotator A'!$A$5:$A$44,0))&amp;"","")</f>
        <v/>
      </c>
      <c r="F144" s="6">
        <f>IFERROR(INDEX('Annotator B'!$E$5:$E$44,MATCH($A144,'Annotator B'!$A$5:$A$44,0))&amp;"","")</f>
        <v/>
      </c>
      <c r="G144" s="6">
        <f>IF(AND(E144="",F144=""),"",IF(E144=F144,"agree","DIFFER"))</f>
        <v/>
      </c>
      <c r="H144" s="7" t="n"/>
      <c r="I144" s="6">
        <f>IF(H144&lt;&gt;"",H144,IF(G144="agree",E144,""))</f>
        <v/>
      </c>
    </row>
    <row r="145">
      <c r="A145" s="6" t="inlineStr">
        <is>
          <t>L08</t>
        </is>
      </c>
      <c r="B145" s="6" t="inlineStr">
        <is>
          <t>near-duplicate</t>
        </is>
      </c>
      <c r="C145" s="6" t="inlineStr">
        <is>
          <t>Value — Cost reduction</t>
        </is>
      </c>
      <c r="D145" s="6" t="inlineStr"/>
      <c r="E145" s="6">
        <f>IFERROR(INDEX('Annotator A'!$F$5:$F$44,MATCH($A145,'Annotator A'!$A$5:$A$44,0))&amp;"","")</f>
        <v/>
      </c>
      <c r="F145" s="6">
        <f>IFERROR(INDEX('Annotator B'!$F$5:$F$44,MATCH($A145,'Annotator B'!$A$5:$A$44,0))&amp;"","")</f>
        <v/>
      </c>
      <c r="G145" s="6">
        <f>IF(AND(E145="",F145=""),"",IF(E145=F145,"agree","DIFFER"))</f>
        <v/>
      </c>
      <c r="H145" s="7" t="n"/>
      <c r="I145" s="6">
        <f>IF(H145&lt;&gt;"",H145,IF(G145="agree",E145,""))</f>
        <v/>
      </c>
    </row>
    <row r="146">
      <c r="A146" s="6" t="inlineStr">
        <is>
          <t>L08</t>
        </is>
      </c>
      <c r="B146" s="6" t="inlineStr">
        <is>
          <t>near-duplicate</t>
        </is>
      </c>
      <c r="C146" s="6" t="inlineStr">
        <is>
          <t>Value — Revenue</t>
        </is>
      </c>
      <c r="D146" s="6" t="inlineStr"/>
      <c r="E146" s="6">
        <f>IFERROR(INDEX('Annotator A'!$G$5:$G$44,MATCH($A146,'Annotator A'!$A$5:$A$44,0))&amp;"","")</f>
        <v/>
      </c>
      <c r="F146" s="6">
        <f>IFERROR(INDEX('Annotator B'!$G$5:$G$44,MATCH($A146,'Annotator B'!$A$5:$A$44,0))&amp;"","")</f>
        <v/>
      </c>
      <c r="G146" s="6">
        <f>IF(AND(E146="",F146=""),"",IF(E146=F146,"agree","DIFFER"))</f>
        <v/>
      </c>
      <c r="H146" s="7" t="n"/>
      <c r="I146" s="6">
        <f>IF(H146&lt;&gt;"",H146,IF(G146="agree",E146,""))</f>
        <v/>
      </c>
    </row>
    <row r="147">
      <c r="A147" s="6" t="inlineStr">
        <is>
          <t>L08</t>
        </is>
      </c>
      <c r="B147" s="6" t="inlineStr">
        <is>
          <t>near-duplicate</t>
        </is>
      </c>
      <c r="C147" s="6" t="inlineStr">
        <is>
          <t>Value — Employee experience</t>
        </is>
      </c>
      <c r="D147" s="6" t="inlineStr">
        <is>
          <t>High</t>
        </is>
      </c>
      <c r="E147" s="6">
        <f>IFERROR(INDEX('Annotator A'!$H$5:$H$44,MATCH($A147,'Annotator A'!$A$5:$A$44,0))&amp;"","")</f>
        <v/>
      </c>
      <c r="F147" s="6">
        <f>IFERROR(INDEX('Annotator B'!$H$5:$H$44,MATCH($A147,'Annotator B'!$A$5:$A$44,0))&amp;"","")</f>
        <v/>
      </c>
      <c r="G147" s="6">
        <f>IF(AND(E147="",F147=""),"",IF(E147=F147,"agree","DIFFER"))</f>
        <v/>
      </c>
      <c r="H147" s="7" t="n"/>
      <c r="I147" s="6">
        <f>IF(H147&lt;&gt;"",H147,IF(G147="agree",E147,""))</f>
        <v/>
      </c>
    </row>
    <row r="148">
      <c r="A148" s="6" t="inlineStr">
        <is>
          <t>L08</t>
        </is>
      </c>
      <c r="B148" s="6" t="inlineStr">
        <is>
          <t>near-duplicate</t>
        </is>
      </c>
      <c r="C148" s="6" t="inlineStr">
        <is>
          <t>Value — Customer impact</t>
        </is>
      </c>
      <c r="D148" s="6" t="inlineStr"/>
      <c r="E148" s="6">
        <f>IFERROR(INDEX('Annotator A'!$I$5:$I$44,MATCH($A148,'Annotator A'!$A$5:$A$44,0))&amp;"","")</f>
        <v/>
      </c>
      <c r="F148" s="6">
        <f>IFERROR(INDEX('Annotator B'!$I$5:$I$44,MATCH($A148,'Annotator B'!$A$5:$A$44,0))&amp;"","")</f>
        <v/>
      </c>
      <c r="G148" s="6">
        <f>IF(AND(E148="",F148=""),"",IF(E148=F148,"agree","DIFFER"))</f>
        <v/>
      </c>
      <c r="H148" s="7" t="n"/>
      <c r="I148" s="6">
        <f>IF(H148&lt;&gt;"",H148,IF(G148="agree",E148,""))</f>
        <v/>
      </c>
    </row>
    <row r="149">
      <c r="A149" s="6" t="inlineStr">
        <is>
          <t>L08</t>
        </is>
      </c>
      <c r="B149" s="6" t="inlineStr">
        <is>
          <t>near-duplicate</t>
        </is>
      </c>
      <c r="C149" s="6" t="inlineStr">
        <is>
          <t>Value — Operational</t>
        </is>
      </c>
      <c r="D149" s="6" t="inlineStr"/>
      <c r="E149" s="6">
        <f>IFERROR(INDEX('Annotator A'!$J$5:$J$44,MATCH($A149,'Annotator A'!$A$5:$A$44,0))&amp;"","")</f>
        <v/>
      </c>
      <c r="F149" s="6">
        <f>IFERROR(INDEX('Annotator B'!$J$5:$J$44,MATCH($A149,'Annotator B'!$A$5:$A$44,0))&amp;"","")</f>
        <v/>
      </c>
      <c r="G149" s="6">
        <f>IF(AND(E149="",F149=""),"",IF(E149=F149,"agree","DIFFER"))</f>
        <v/>
      </c>
      <c r="H149" s="7" t="n"/>
      <c r="I149" s="6">
        <f>IF(H149&lt;&gt;"",H149,IF(G149="agree",E149,""))</f>
        <v/>
      </c>
    </row>
    <row r="150">
      <c r="A150" s="6" t="inlineStr">
        <is>
          <t>L08</t>
        </is>
      </c>
      <c r="B150" s="6" t="inlineStr">
        <is>
          <t>near-duplicate</t>
        </is>
      </c>
      <c r="C150" s="6" t="inlineStr">
        <is>
          <t>Value — Problem severity</t>
        </is>
      </c>
      <c r="D150" s="6" t="inlineStr"/>
      <c r="E150" s="6">
        <f>IFERROR(INDEX('Annotator A'!$K$5:$K$44,MATCH($A150,'Annotator A'!$A$5:$A$44,0))&amp;"","")</f>
        <v/>
      </c>
      <c r="F150" s="6">
        <f>IFERROR(INDEX('Annotator B'!$K$5:$K$44,MATCH($A150,'Annotator B'!$A$5:$A$44,0))&amp;"","")</f>
        <v/>
      </c>
      <c r="G150" s="6">
        <f>IF(AND(E150="",F150=""),"",IF(E150=F150,"agree","DIFFER"))</f>
        <v/>
      </c>
      <c r="H150" s="7" t="n"/>
      <c r="I150" s="6">
        <f>IF(H150&lt;&gt;"",H150,IF(G150="agree",E150,""))</f>
        <v/>
      </c>
    </row>
    <row r="151">
      <c r="A151" s="6" t="inlineStr">
        <is>
          <t>L08</t>
        </is>
      </c>
      <c r="B151" s="6" t="inlineStr">
        <is>
          <t>near-duplicate</t>
        </is>
      </c>
      <c r="C151" s="6" t="inlineStr">
        <is>
          <t>Value — Problem frequency</t>
        </is>
      </c>
      <c r="D151" s="6" t="inlineStr">
        <is>
          <t>Moderate</t>
        </is>
      </c>
      <c r="E151" s="6">
        <f>IFERROR(INDEX('Annotator A'!$L$5:$L$44,MATCH($A151,'Annotator A'!$A$5:$A$44,0))&amp;"","")</f>
        <v/>
      </c>
      <c r="F151" s="6">
        <f>IFERROR(INDEX('Annotator B'!$L$5:$L$44,MATCH($A151,'Annotator B'!$A$5:$A$44,0))&amp;"","")</f>
        <v/>
      </c>
      <c r="G151" s="6">
        <f>IF(AND(E151="",F151=""),"",IF(E151=F151,"agree","DIFFER"))</f>
        <v/>
      </c>
      <c r="H151" s="7" t="n"/>
      <c r="I151" s="6">
        <f>IF(H151&lt;&gt;"",H151,IF(G151="agree",E151,""))</f>
        <v/>
      </c>
    </row>
    <row r="152">
      <c r="A152" s="6" t="inlineStr">
        <is>
          <t>L08</t>
        </is>
      </c>
      <c r="B152" s="6" t="inlineStr">
        <is>
          <t>near-duplicate</t>
        </is>
      </c>
      <c r="C152" s="6" t="inlineStr">
        <is>
          <t>Feasibility status</t>
        </is>
      </c>
      <c r="D152" s="6" t="inlineStr">
        <is>
          <t>HIGHLY_FEASIBLE</t>
        </is>
      </c>
      <c r="E152" s="6">
        <f>IFERROR(INDEX('Annotator A'!$M$5:$M$44,MATCH($A152,'Annotator A'!$A$5:$A$44,0))&amp;"","")</f>
        <v/>
      </c>
      <c r="F152" s="6">
        <f>IFERROR(INDEX('Annotator B'!$M$5:$M$44,MATCH($A152,'Annotator B'!$A$5:$A$44,0))&amp;"","")</f>
        <v/>
      </c>
      <c r="G152" s="6">
        <f>IF(AND(E152="",F152=""),"",IF(E152=F152,"agree","DIFFER"))</f>
        <v/>
      </c>
      <c r="H152" s="7" t="n"/>
      <c r="I152" s="6">
        <f>IF(H152&lt;&gt;"",H152,IF(G152="agree",E152,""))</f>
        <v/>
      </c>
    </row>
    <row r="153">
      <c r="A153" s="6" t="inlineStr">
        <is>
          <t>L08</t>
        </is>
      </c>
      <c r="B153" s="6" t="inlineStr">
        <is>
          <t>near-duplicate</t>
        </is>
      </c>
      <c r="C153" s="6" t="inlineStr">
        <is>
          <t>Risk — Technical</t>
        </is>
      </c>
      <c r="D153" s="6" t="inlineStr"/>
      <c r="E153" s="6">
        <f>IFERROR(INDEX('Annotator A'!$N$5:$N$44,MATCH($A153,'Annotator A'!$A$5:$A$44,0))&amp;"","")</f>
        <v/>
      </c>
      <c r="F153" s="6">
        <f>IFERROR(INDEX('Annotator B'!$N$5:$N$44,MATCH($A153,'Annotator B'!$A$5:$A$44,0))&amp;"","")</f>
        <v/>
      </c>
      <c r="G153" s="6">
        <f>IF(AND(E153="",F153=""),"",IF(E153=F153,"agree","DIFFER"))</f>
        <v/>
      </c>
      <c r="H153" s="7" t="n"/>
      <c r="I153" s="6">
        <f>IF(H153&lt;&gt;"",H153,IF(G153="agree",E153,""))</f>
        <v/>
      </c>
    </row>
    <row r="154">
      <c r="A154" s="6" t="inlineStr">
        <is>
          <t>L08</t>
        </is>
      </c>
      <c r="B154" s="6" t="inlineStr">
        <is>
          <t>near-duplicate</t>
        </is>
      </c>
      <c r="C154" s="6" t="inlineStr">
        <is>
          <t>Risk — Security</t>
        </is>
      </c>
      <c r="D154" s="6" t="inlineStr"/>
      <c r="E154" s="6">
        <f>IFERROR(INDEX('Annotator A'!$O$5:$O$44,MATCH($A154,'Annotator A'!$A$5:$A$44,0))&amp;"","")</f>
        <v/>
      </c>
      <c r="F154" s="6">
        <f>IFERROR(INDEX('Annotator B'!$O$5:$O$44,MATCH($A154,'Annotator B'!$A$5:$A$44,0))&amp;"","")</f>
        <v/>
      </c>
      <c r="G154" s="6">
        <f>IF(AND(E154="",F154=""),"",IF(E154=F154,"agree","DIFFER"))</f>
        <v/>
      </c>
      <c r="H154" s="7" t="n"/>
      <c r="I154" s="6">
        <f>IF(H154&lt;&gt;"",H154,IF(G154="agree",E154,""))</f>
        <v/>
      </c>
    </row>
    <row r="155">
      <c r="A155" s="6" t="inlineStr">
        <is>
          <t>L08</t>
        </is>
      </c>
      <c r="B155" s="6" t="inlineStr">
        <is>
          <t>near-duplicate</t>
        </is>
      </c>
      <c r="C155" s="6" t="inlineStr">
        <is>
          <t>Risk — Privacy</t>
        </is>
      </c>
      <c r="D155" s="6" t="inlineStr"/>
      <c r="E155" s="6">
        <f>IFERROR(INDEX('Annotator A'!$P$5:$P$44,MATCH($A155,'Annotator A'!$A$5:$A$44,0))&amp;"","")</f>
        <v/>
      </c>
      <c r="F155" s="6">
        <f>IFERROR(INDEX('Annotator B'!$P$5:$P$44,MATCH($A155,'Annotator B'!$A$5:$A$44,0))&amp;"","")</f>
        <v/>
      </c>
      <c r="G155" s="6">
        <f>IF(AND(E155="",F155=""),"",IF(E155=F155,"agree","DIFFER"))</f>
        <v/>
      </c>
      <c r="H155" s="7" t="n"/>
      <c r="I155" s="6">
        <f>IF(H155&lt;&gt;"",H155,IF(G155="agree",E155,""))</f>
        <v/>
      </c>
    </row>
    <row r="156">
      <c r="A156" s="6" t="inlineStr">
        <is>
          <t>L08</t>
        </is>
      </c>
      <c r="B156" s="6" t="inlineStr">
        <is>
          <t>near-duplicate</t>
        </is>
      </c>
      <c r="C156" s="6" t="inlineStr">
        <is>
          <t>Risk — Compliance</t>
        </is>
      </c>
      <c r="D156" s="6" t="inlineStr"/>
      <c r="E156" s="6">
        <f>IFERROR(INDEX('Annotator A'!$Q$5:$Q$44,MATCH($A156,'Annotator A'!$A$5:$A$44,0))&amp;"","")</f>
        <v/>
      </c>
      <c r="F156" s="6">
        <f>IFERROR(INDEX('Annotator B'!$Q$5:$Q$44,MATCH($A156,'Annotator B'!$A$5:$A$44,0))&amp;"","")</f>
        <v/>
      </c>
      <c r="G156" s="6">
        <f>IF(AND(E156="",F156=""),"",IF(E156=F156,"agree","DIFFER"))</f>
        <v/>
      </c>
      <c r="H156" s="7" t="n"/>
      <c r="I156" s="6">
        <f>IF(H156&lt;&gt;"",H156,IF(G156="agree",E156,""))</f>
        <v/>
      </c>
    </row>
    <row r="157">
      <c r="A157" s="6" t="inlineStr">
        <is>
          <t>L08</t>
        </is>
      </c>
      <c r="B157" s="6" t="inlineStr">
        <is>
          <t>near-duplicate</t>
        </is>
      </c>
      <c r="C157" s="6" t="inlineStr">
        <is>
          <t>Risk — Financial</t>
        </is>
      </c>
      <c r="D157" s="6" t="inlineStr"/>
      <c r="E157" s="6">
        <f>IFERROR(INDEX('Annotator A'!$R$5:$R$44,MATCH($A157,'Annotator A'!$A$5:$A$44,0))&amp;"","")</f>
        <v/>
      </c>
      <c r="F157" s="6">
        <f>IFERROR(INDEX('Annotator B'!$R$5:$R$44,MATCH($A157,'Annotator B'!$A$5:$A$44,0))&amp;"","")</f>
        <v/>
      </c>
      <c r="G157" s="6">
        <f>IF(AND(E157="",F157=""),"",IF(E157=F157,"agree","DIFFER"))</f>
        <v/>
      </c>
      <c r="H157" s="7" t="n"/>
      <c r="I157" s="6">
        <f>IF(H157&lt;&gt;"",H157,IF(G157="agree",E157,""))</f>
        <v/>
      </c>
    </row>
    <row r="158">
      <c r="A158" s="6" t="inlineStr">
        <is>
          <t>L08</t>
        </is>
      </c>
      <c r="B158" s="6" t="inlineStr">
        <is>
          <t>near-duplicate</t>
        </is>
      </c>
      <c r="C158" s="6" t="inlineStr">
        <is>
          <t>Risk — Operational</t>
        </is>
      </c>
      <c r="D158" s="6" t="inlineStr"/>
      <c r="E158" s="6">
        <f>IFERROR(INDEX('Annotator A'!$S$5:$S$44,MATCH($A158,'Annotator A'!$A$5:$A$44,0))&amp;"","")</f>
        <v/>
      </c>
      <c r="F158" s="6">
        <f>IFERROR(INDEX('Annotator B'!$S$5:$S$44,MATCH($A158,'Annotator B'!$A$5:$A$44,0))&amp;"","")</f>
        <v/>
      </c>
      <c r="G158" s="6">
        <f>IF(AND(E158="",F158=""),"",IF(E158=F158,"agree","DIFFER"))</f>
        <v/>
      </c>
      <c r="H158" s="7" t="n"/>
      <c r="I158" s="6">
        <f>IF(H158&lt;&gt;"",H158,IF(G158="agree",E158,""))</f>
        <v/>
      </c>
    </row>
    <row r="159">
      <c r="A159" s="6" t="inlineStr">
        <is>
          <t>L08</t>
        </is>
      </c>
      <c r="B159" s="6" t="inlineStr">
        <is>
          <t>near-duplicate</t>
        </is>
      </c>
      <c r="C159" s="6" t="inlineStr">
        <is>
          <t>Risk — Adoption</t>
        </is>
      </c>
      <c r="D159" s="6" t="inlineStr"/>
      <c r="E159" s="6">
        <f>IFERROR(INDEX('Annotator A'!$T$5:$T$44,MATCH($A159,'Annotator A'!$A$5:$A$44,0))&amp;"","")</f>
        <v/>
      </c>
      <c r="F159" s="6">
        <f>IFERROR(INDEX('Annotator B'!$T$5:$T$44,MATCH($A159,'Annotator B'!$A$5:$A$44,0))&amp;"","")</f>
        <v/>
      </c>
      <c r="G159" s="6">
        <f>IF(AND(E159="",F159=""),"",IF(E159=F159,"agree","DIFFER"))</f>
        <v/>
      </c>
      <c r="H159" s="7" t="n"/>
      <c r="I159" s="6">
        <f>IF(H159&lt;&gt;"",H159,IF(G159="agree",E159,""))</f>
        <v/>
      </c>
    </row>
    <row r="160">
      <c r="A160" s="6" t="inlineStr">
        <is>
          <t>L08</t>
        </is>
      </c>
      <c r="B160" s="6" t="inlineStr">
        <is>
          <t>near-duplicate</t>
        </is>
      </c>
      <c r="C160" s="6" t="inlineStr">
        <is>
          <t>Risk — Data</t>
        </is>
      </c>
      <c r="D160" s="6" t="inlineStr"/>
      <c r="E160" s="6">
        <f>IFERROR(INDEX('Annotator A'!$U$5:$U$44,MATCH($A160,'Annotator A'!$A$5:$A$44,0))&amp;"","")</f>
        <v/>
      </c>
      <c r="F160" s="6">
        <f>IFERROR(INDEX('Annotator B'!$U$5:$U$44,MATCH($A160,'Annotator B'!$A$5:$A$44,0))&amp;"","")</f>
        <v/>
      </c>
      <c r="G160" s="6">
        <f>IF(AND(E160="",F160=""),"",IF(E160=F160,"agree","DIFFER"))</f>
        <v/>
      </c>
      <c r="H160" s="7" t="n"/>
      <c r="I160" s="6">
        <f>IF(H160&lt;&gt;"",H160,IF(G160="agree",E160,""))</f>
        <v/>
      </c>
    </row>
    <row r="161">
      <c r="A161" s="6" t="inlineStr">
        <is>
          <t>L08</t>
        </is>
      </c>
      <c r="B161" s="6" t="inlineStr">
        <is>
          <t>near-duplicate</t>
        </is>
      </c>
      <c r="C161" s="6" t="inlineStr">
        <is>
          <t>Risk — Vendor</t>
        </is>
      </c>
      <c r="D161" s="6" t="inlineStr"/>
      <c r="E161" s="6">
        <f>IFERROR(INDEX('Annotator A'!$V$5:$V$44,MATCH($A161,'Annotator A'!$A$5:$A$44,0))&amp;"","")</f>
        <v/>
      </c>
      <c r="F161" s="6">
        <f>IFERROR(INDEX('Annotator B'!$V$5:$V$44,MATCH($A161,'Annotator B'!$A$5:$A$44,0))&amp;"","")</f>
        <v/>
      </c>
      <c r="G161" s="6">
        <f>IF(AND(E161="",F161=""),"",IF(E161=F161,"agree","DIFFER"))</f>
        <v/>
      </c>
      <c r="H161" s="7" t="n"/>
      <c r="I161" s="6">
        <f>IF(H161&lt;&gt;"",H161,IF(G161="agree",E161,""))</f>
        <v/>
      </c>
    </row>
    <row r="162">
      <c r="A162" s="6" t="inlineStr">
        <is>
          <t>L09</t>
        </is>
      </c>
      <c r="B162" s="6" t="inlineStr">
        <is>
          <t>near-duplicate</t>
        </is>
      </c>
      <c r="C162" s="6" t="inlineStr">
        <is>
          <t>Use cases</t>
        </is>
      </c>
      <c r="D162" s="6" t="inlineStr">
        <is>
          <t>trigger laptop ordering and imaging automatically on start-date confirmation</t>
        </is>
      </c>
      <c r="E162" s="6">
        <f>IFERROR(INDEX('Annotator A'!$C$5:$C$44,MATCH($A162,'Annotator A'!$A$5:$A$44,0))&amp;"","")</f>
        <v/>
      </c>
      <c r="F162" s="6">
        <f>IFERROR(INDEX('Annotator B'!$C$5:$C$44,MATCH($A162,'Annotator B'!$A$5:$A$44,0))&amp;"","")</f>
        <v/>
      </c>
      <c r="G162" s="6" t="inlineStr">
        <is>
          <t>read both</t>
        </is>
      </c>
      <c r="H162" s="7" t="n"/>
      <c r="I162" s="6">
        <f>IF(H162&lt;&gt;"",H162,"")</f>
        <v/>
      </c>
    </row>
    <row r="163">
      <c r="A163" s="6" t="inlineStr">
        <is>
          <t>L09</t>
        </is>
      </c>
      <c r="B163" s="6" t="inlineStr">
        <is>
          <t>near-duplicate</t>
        </is>
      </c>
      <c r="C163" s="6" t="inlineStr">
        <is>
          <t>Value — Business impact</t>
        </is>
      </c>
      <c r="D163" s="6" t="inlineStr"/>
      <c r="E163" s="6">
        <f>IFERROR(INDEX('Annotator A'!$D$5:$D$44,MATCH($A163,'Annotator A'!$A$5:$A$44,0))&amp;"","")</f>
        <v/>
      </c>
      <c r="F163" s="6">
        <f>IFERROR(INDEX('Annotator B'!$D$5:$D$44,MATCH($A163,'Annotator B'!$A$5:$A$44,0))&amp;"","")</f>
        <v/>
      </c>
      <c r="G163" s="6">
        <f>IF(AND(E163="",F163=""),"",IF(E163=F163,"agree","DIFFER"))</f>
        <v/>
      </c>
      <c r="H163" s="7" t="n"/>
      <c r="I163" s="6">
        <f>IF(H163&lt;&gt;"",H163,IF(G163="agree",E163,""))</f>
        <v/>
      </c>
    </row>
    <row r="164">
      <c r="A164" s="6" t="inlineStr">
        <is>
          <t>L09</t>
        </is>
      </c>
      <c r="B164" s="6" t="inlineStr">
        <is>
          <t>near-duplicate</t>
        </is>
      </c>
      <c r="C164" s="6" t="inlineStr">
        <is>
          <t>Value — Productivity</t>
        </is>
      </c>
      <c r="D164" s="6" t="inlineStr"/>
      <c r="E164" s="6">
        <f>IFERROR(INDEX('Annotator A'!$E$5:$E$44,MATCH($A164,'Annotator A'!$A$5:$A$44,0))&amp;"","")</f>
        <v/>
      </c>
      <c r="F164" s="6">
        <f>IFERROR(INDEX('Annotator B'!$E$5:$E$44,MATCH($A164,'Annotator B'!$A$5:$A$44,0))&amp;"","")</f>
        <v/>
      </c>
      <c r="G164" s="6">
        <f>IF(AND(E164="",F164=""),"",IF(E164=F164,"agree","DIFFER"))</f>
        <v/>
      </c>
      <c r="H164" s="7" t="n"/>
      <c r="I164" s="6">
        <f>IF(H164&lt;&gt;"",H164,IF(G164="agree",E164,""))</f>
        <v/>
      </c>
    </row>
    <row r="165">
      <c r="A165" s="6" t="inlineStr">
        <is>
          <t>L09</t>
        </is>
      </c>
      <c r="B165" s="6" t="inlineStr">
        <is>
          <t>near-duplicate</t>
        </is>
      </c>
      <c r="C165" s="6" t="inlineStr">
        <is>
          <t>Value — Cost reduction</t>
        </is>
      </c>
      <c r="D165" s="6" t="inlineStr"/>
      <c r="E165" s="6">
        <f>IFERROR(INDEX('Annotator A'!$F$5:$F$44,MATCH($A165,'Annotator A'!$A$5:$A$44,0))&amp;"","")</f>
        <v/>
      </c>
      <c r="F165" s="6">
        <f>IFERROR(INDEX('Annotator B'!$F$5:$F$44,MATCH($A165,'Annotator B'!$A$5:$A$44,0))&amp;"","")</f>
        <v/>
      </c>
      <c r="G165" s="6">
        <f>IF(AND(E165="",F165=""),"",IF(E165=F165,"agree","DIFFER"))</f>
        <v/>
      </c>
      <c r="H165" s="7" t="n"/>
      <c r="I165" s="6">
        <f>IF(H165&lt;&gt;"",H165,IF(G165="agree",E165,""))</f>
        <v/>
      </c>
    </row>
    <row r="166">
      <c r="A166" s="6" t="inlineStr">
        <is>
          <t>L09</t>
        </is>
      </c>
      <c r="B166" s="6" t="inlineStr">
        <is>
          <t>near-duplicate</t>
        </is>
      </c>
      <c r="C166" s="6" t="inlineStr">
        <is>
          <t>Value — Revenue</t>
        </is>
      </c>
      <c r="D166" s="6" t="inlineStr"/>
      <c r="E166" s="6">
        <f>IFERROR(INDEX('Annotator A'!$G$5:$G$44,MATCH($A166,'Annotator A'!$A$5:$A$44,0))&amp;"","")</f>
        <v/>
      </c>
      <c r="F166" s="6">
        <f>IFERROR(INDEX('Annotator B'!$G$5:$G$44,MATCH($A166,'Annotator B'!$A$5:$A$44,0))&amp;"","")</f>
        <v/>
      </c>
      <c r="G166" s="6">
        <f>IF(AND(E166="",F166=""),"",IF(E166=F166,"agree","DIFFER"))</f>
        <v/>
      </c>
      <c r="H166" s="7" t="n"/>
      <c r="I166" s="6">
        <f>IF(H166&lt;&gt;"",H166,IF(G166="agree",E166,""))</f>
        <v/>
      </c>
    </row>
    <row r="167">
      <c r="A167" s="6" t="inlineStr">
        <is>
          <t>L09</t>
        </is>
      </c>
      <c r="B167" s="6" t="inlineStr">
        <is>
          <t>near-duplicate</t>
        </is>
      </c>
      <c r="C167" s="6" t="inlineStr">
        <is>
          <t>Value — Employee experience</t>
        </is>
      </c>
      <c r="D167" s="6" t="inlineStr">
        <is>
          <t>High</t>
        </is>
      </c>
      <c r="E167" s="6">
        <f>IFERROR(INDEX('Annotator A'!$H$5:$H$44,MATCH($A167,'Annotator A'!$A$5:$A$44,0))&amp;"","")</f>
        <v/>
      </c>
      <c r="F167" s="6">
        <f>IFERROR(INDEX('Annotator B'!$H$5:$H$44,MATCH($A167,'Annotator B'!$A$5:$A$44,0))&amp;"","")</f>
        <v/>
      </c>
      <c r="G167" s="6">
        <f>IF(AND(E167="",F167=""),"",IF(E167=F167,"agree","DIFFER"))</f>
        <v/>
      </c>
      <c r="H167" s="7" t="n"/>
      <c r="I167" s="6">
        <f>IF(H167&lt;&gt;"",H167,IF(G167="agree",E167,""))</f>
        <v/>
      </c>
    </row>
    <row r="168">
      <c r="A168" s="6" t="inlineStr">
        <is>
          <t>L09</t>
        </is>
      </c>
      <c r="B168" s="6" t="inlineStr">
        <is>
          <t>near-duplicate</t>
        </is>
      </c>
      <c r="C168" s="6" t="inlineStr">
        <is>
          <t>Value — Customer impact</t>
        </is>
      </c>
      <c r="D168" s="6" t="inlineStr"/>
      <c r="E168" s="6">
        <f>IFERROR(INDEX('Annotator A'!$I$5:$I$44,MATCH($A168,'Annotator A'!$A$5:$A$44,0))&amp;"","")</f>
        <v/>
      </c>
      <c r="F168" s="6">
        <f>IFERROR(INDEX('Annotator B'!$I$5:$I$44,MATCH($A168,'Annotator B'!$A$5:$A$44,0))&amp;"","")</f>
        <v/>
      </c>
      <c r="G168" s="6">
        <f>IF(AND(E168="",F168=""),"",IF(E168=F168,"agree","DIFFER"))</f>
        <v/>
      </c>
      <c r="H168" s="7" t="n"/>
      <c r="I168" s="6">
        <f>IF(H168&lt;&gt;"",H168,IF(G168="agree",E168,""))</f>
        <v/>
      </c>
    </row>
    <row r="169">
      <c r="A169" s="6" t="inlineStr">
        <is>
          <t>L09</t>
        </is>
      </c>
      <c r="B169" s="6" t="inlineStr">
        <is>
          <t>near-duplicate</t>
        </is>
      </c>
      <c r="C169" s="6" t="inlineStr">
        <is>
          <t>Value — Operational</t>
        </is>
      </c>
      <c r="D169" s="6" t="inlineStr"/>
      <c r="E169" s="6">
        <f>IFERROR(INDEX('Annotator A'!$J$5:$J$44,MATCH($A169,'Annotator A'!$A$5:$A$44,0))&amp;"","")</f>
        <v/>
      </c>
      <c r="F169" s="6">
        <f>IFERROR(INDEX('Annotator B'!$J$5:$J$44,MATCH($A169,'Annotator B'!$A$5:$A$44,0))&amp;"","")</f>
        <v/>
      </c>
      <c r="G169" s="6">
        <f>IF(AND(E169="",F169=""),"",IF(E169=F169,"agree","DIFFER"))</f>
        <v/>
      </c>
      <c r="H169" s="7" t="n"/>
      <c r="I169" s="6">
        <f>IF(H169&lt;&gt;"",H169,IF(G169="agree",E169,""))</f>
        <v/>
      </c>
    </row>
    <row r="170">
      <c r="A170" s="6" t="inlineStr">
        <is>
          <t>L09</t>
        </is>
      </c>
      <c r="B170" s="6" t="inlineStr">
        <is>
          <t>near-duplicate</t>
        </is>
      </c>
      <c r="C170" s="6" t="inlineStr">
        <is>
          <t>Value — Problem severity</t>
        </is>
      </c>
      <c r="D170" s="6" t="inlineStr"/>
      <c r="E170" s="6">
        <f>IFERROR(INDEX('Annotator A'!$K$5:$K$44,MATCH($A170,'Annotator A'!$A$5:$A$44,0))&amp;"","")</f>
        <v/>
      </c>
      <c r="F170" s="6">
        <f>IFERROR(INDEX('Annotator B'!$K$5:$K$44,MATCH($A170,'Annotator B'!$A$5:$A$44,0))&amp;"","")</f>
        <v/>
      </c>
      <c r="G170" s="6">
        <f>IF(AND(E170="",F170=""),"",IF(E170=F170,"agree","DIFFER"))</f>
        <v/>
      </c>
      <c r="H170" s="7" t="n"/>
      <c r="I170" s="6">
        <f>IF(H170&lt;&gt;"",H170,IF(G170="agree",E170,""))</f>
        <v/>
      </c>
    </row>
    <row r="171">
      <c r="A171" s="6" t="inlineStr">
        <is>
          <t>L09</t>
        </is>
      </c>
      <c r="B171" s="6" t="inlineStr">
        <is>
          <t>near-duplicate</t>
        </is>
      </c>
      <c r="C171" s="6" t="inlineStr">
        <is>
          <t>Value — Problem frequency</t>
        </is>
      </c>
      <c r="D171" s="6" t="inlineStr">
        <is>
          <t>Moderate</t>
        </is>
      </c>
      <c r="E171" s="6">
        <f>IFERROR(INDEX('Annotator A'!$L$5:$L$44,MATCH($A171,'Annotator A'!$A$5:$A$44,0))&amp;"","")</f>
        <v/>
      </c>
      <c r="F171" s="6">
        <f>IFERROR(INDEX('Annotator B'!$L$5:$L$44,MATCH($A171,'Annotator B'!$A$5:$A$44,0))&amp;"","")</f>
        <v/>
      </c>
      <c r="G171" s="6">
        <f>IF(AND(E171="",F171=""),"",IF(E171=F171,"agree","DIFFER"))</f>
        <v/>
      </c>
      <c r="H171" s="7" t="n"/>
      <c r="I171" s="6">
        <f>IF(H171&lt;&gt;"",H171,IF(G171="agree",E171,""))</f>
        <v/>
      </c>
    </row>
    <row r="172">
      <c r="A172" s="6" t="inlineStr">
        <is>
          <t>L09</t>
        </is>
      </c>
      <c r="B172" s="6" t="inlineStr">
        <is>
          <t>near-duplicate</t>
        </is>
      </c>
      <c r="C172" s="6" t="inlineStr">
        <is>
          <t>Feasibility status</t>
        </is>
      </c>
      <c r="D172" s="6" t="inlineStr">
        <is>
          <t>HIGHLY_FEASIBLE</t>
        </is>
      </c>
      <c r="E172" s="6">
        <f>IFERROR(INDEX('Annotator A'!$M$5:$M$44,MATCH($A172,'Annotator A'!$A$5:$A$44,0))&amp;"","")</f>
        <v/>
      </c>
      <c r="F172" s="6">
        <f>IFERROR(INDEX('Annotator B'!$M$5:$M$44,MATCH($A172,'Annotator B'!$A$5:$A$44,0))&amp;"","")</f>
        <v/>
      </c>
      <c r="G172" s="6">
        <f>IF(AND(E172="",F172=""),"",IF(E172=F172,"agree","DIFFER"))</f>
        <v/>
      </c>
      <c r="H172" s="7" t="n"/>
      <c r="I172" s="6">
        <f>IF(H172&lt;&gt;"",H172,IF(G172="agree",E172,""))</f>
        <v/>
      </c>
    </row>
    <row r="173">
      <c r="A173" s="6" t="inlineStr">
        <is>
          <t>L09</t>
        </is>
      </c>
      <c r="B173" s="6" t="inlineStr">
        <is>
          <t>near-duplicate</t>
        </is>
      </c>
      <c r="C173" s="6" t="inlineStr">
        <is>
          <t>Risk — Technical</t>
        </is>
      </c>
      <c r="D173" s="6" t="inlineStr"/>
      <c r="E173" s="6">
        <f>IFERROR(INDEX('Annotator A'!$N$5:$N$44,MATCH($A173,'Annotator A'!$A$5:$A$44,0))&amp;"","")</f>
        <v/>
      </c>
      <c r="F173" s="6">
        <f>IFERROR(INDEX('Annotator B'!$N$5:$N$44,MATCH($A173,'Annotator B'!$A$5:$A$44,0))&amp;"","")</f>
        <v/>
      </c>
      <c r="G173" s="6">
        <f>IF(AND(E173="",F173=""),"",IF(E173=F173,"agree","DIFFER"))</f>
        <v/>
      </c>
      <c r="H173" s="7" t="n"/>
      <c r="I173" s="6">
        <f>IF(H173&lt;&gt;"",H173,IF(G173="agree",E173,""))</f>
        <v/>
      </c>
    </row>
    <row r="174">
      <c r="A174" s="6" t="inlineStr">
        <is>
          <t>L09</t>
        </is>
      </c>
      <c r="B174" s="6" t="inlineStr">
        <is>
          <t>near-duplicate</t>
        </is>
      </c>
      <c r="C174" s="6" t="inlineStr">
        <is>
          <t>Risk — Security</t>
        </is>
      </c>
      <c r="D174" s="6" t="inlineStr"/>
      <c r="E174" s="6">
        <f>IFERROR(INDEX('Annotator A'!$O$5:$O$44,MATCH($A174,'Annotator A'!$A$5:$A$44,0))&amp;"","")</f>
        <v/>
      </c>
      <c r="F174" s="6">
        <f>IFERROR(INDEX('Annotator B'!$O$5:$O$44,MATCH($A174,'Annotator B'!$A$5:$A$44,0))&amp;"","")</f>
        <v/>
      </c>
      <c r="G174" s="6">
        <f>IF(AND(E174="",F174=""),"",IF(E174=F174,"agree","DIFFER"))</f>
        <v/>
      </c>
      <c r="H174" s="7" t="n"/>
      <c r="I174" s="6">
        <f>IF(H174&lt;&gt;"",H174,IF(G174="agree",E174,""))</f>
        <v/>
      </c>
    </row>
    <row r="175">
      <c r="A175" s="6" t="inlineStr">
        <is>
          <t>L09</t>
        </is>
      </c>
      <c r="B175" s="6" t="inlineStr">
        <is>
          <t>near-duplicate</t>
        </is>
      </c>
      <c r="C175" s="6" t="inlineStr">
        <is>
          <t>Risk — Privacy</t>
        </is>
      </c>
      <c r="D175" s="6" t="inlineStr"/>
      <c r="E175" s="6">
        <f>IFERROR(INDEX('Annotator A'!$P$5:$P$44,MATCH($A175,'Annotator A'!$A$5:$A$44,0))&amp;"","")</f>
        <v/>
      </c>
      <c r="F175" s="6">
        <f>IFERROR(INDEX('Annotator B'!$P$5:$P$44,MATCH($A175,'Annotator B'!$A$5:$A$44,0))&amp;"","")</f>
        <v/>
      </c>
      <c r="G175" s="6">
        <f>IF(AND(E175="",F175=""),"",IF(E175=F175,"agree","DIFFER"))</f>
        <v/>
      </c>
      <c r="H175" s="7" t="n"/>
      <c r="I175" s="6">
        <f>IF(H175&lt;&gt;"",H175,IF(G175="agree",E175,""))</f>
        <v/>
      </c>
    </row>
    <row r="176">
      <c r="A176" s="6" t="inlineStr">
        <is>
          <t>L09</t>
        </is>
      </c>
      <c r="B176" s="6" t="inlineStr">
        <is>
          <t>near-duplicate</t>
        </is>
      </c>
      <c r="C176" s="6" t="inlineStr">
        <is>
          <t>Risk — Compliance</t>
        </is>
      </c>
      <c r="D176" s="6" t="inlineStr"/>
      <c r="E176" s="6">
        <f>IFERROR(INDEX('Annotator A'!$Q$5:$Q$44,MATCH($A176,'Annotator A'!$A$5:$A$44,0))&amp;"","")</f>
        <v/>
      </c>
      <c r="F176" s="6">
        <f>IFERROR(INDEX('Annotator B'!$Q$5:$Q$44,MATCH($A176,'Annotator B'!$A$5:$A$44,0))&amp;"","")</f>
        <v/>
      </c>
      <c r="G176" s="6">
        <f>IF(AND(E176="",F176=""),"",IF(E176=F176,"agree","DIFFER"))</f>
        <v/>
      </c>
      <c r="H176" s="7" t="n"/>
      <c r="I176" s="6">
        <f>IF(H176&lt;&gt;"",H176,IF(G176="agree",E176,""))</f>
        <v/>
      </c>
    </row>
    <row r="177">
      <c r="A177" s="6" t="inlineStr">
        <is>
          <t>L09</t>
        </is>
      </c>
      <c r="B177" s="6" t="inlineStr">
        <is>
          <t>near-duplicate</t>
        </is>
      </c>
      <c r="C177" s="6" t="inlineStr">
        <is>
          <t>Risk — Financial</t>
        </is>
      </c>
      <c r="D177" s="6" t="inlineStr"/>
      <c r="E177" s="6">
        <f>IFERROR(INDEX('Annotator A'!$R$5:$R$44,MATCH($A177,'Annotator A'!$A$5:$A$44,0))&amp;"","")</f>
        <v/>
      </c>
      <c r="F177" s="6">
        <f>IFERROR(INDEX('Annotator B'!$R$5:$R$44,MATCH($A177,'Annotator B'!$A$5:$A$44,0))&amp;"","")</f>
        <v/>
      </c>
      <c r="G177" s="6">
        <f>IF(AND(E177="",F177=""),"",IF(E177=F177,"agree","DIFFER"))</f>
        <v/>
      </c>
      <c r="H177" s="7" t="n"/>
      <c r="I177" s="6">
        <f>IF(H177&lt;&gt;"",H177,IF(G177="agree",E177,""))</f>
        <v/>
      </c>
    </row>
    <row r="178">
      <c r="A178" s="6" t="inlineStr">
        <is>
          <t>L09</t>
        </is>
      </c>
      <c r="B178" s="6" t="inlineStr">
        <is>
          <t>near-duplicate</t>
        </is>
      </c>
      <c r="C178" s="6" t="inlineStr">
        <is>
          <t>Risk — Operational</t>
        </is>
      </c>
      <c r="D178" s="6" t="inlineStr"/>
      <c r="E178" s="6">
        <f>IFERROR(INDEX('Annotator A'!$S$5:$S$44,MATCH($A178,'Annotator A'!$A$5:$A$44,0))&amp;"","")</f>
        <v/>
      </c>
      <c r="F178" s="6">
        <f>IFERROR(INDEX('Annotator B'!$S$5:$S$44,MATCH($A178,'Annotator B'!$A$5:$A$44,0))&amp;"","")</f>
        <v/>
      </c>
      <c r="G178" s="6">
        <f>IF(AND(E178="",F178=""),"",IF(E178=F178,"agree","DIFFER"))</f>
        <v/>
      </c>
      <c r="H178" s="7" t="n"/>
      <c r="I178" s="6">
        <f>IF(H178&lt;&gt;"",H178,IF(G178="agree",E178,""))</f>
        <v/>
      </c>
    </row>
    <row r="179">
      <c r="A179" s="6" t="inlineStr">
        <is>
          <t>L09</t>
        </is>
      </c>
      <c r="B179" s="6" t="inlineStr">
        <is>
          <t>near-duplicate</t>
        </is>
      </c>
      <c r="C179" s="6" t="inlineStr">
        <is>
          <t>Risk — Adoption</t>
        </is>
      </c>
      <c r="D179" s="6" t="inlineStr"/>
      <c r="E179" s="6">
        <f>IFERROR(INDEX('Annotator A'!$T$5:$T$44,MATCH($A179,'Annotator A'!$A$5:$A$44,0))&amp;"","")</f>
        <v/>
      </c>
      <c r="F179" s="6">
        <f>IFERROR(INDEX('Annotator B'!$T$5:$T$44,MATCH($A179,'Annotator B'!$A$5:$A$44,0))&amp;"","")</f>
        <v/>
      </c>
      <c r="G179" s="6">
        <f>IF(AND(E179="",F179=""),"",IF(E179=F179,"agree","DIFFER"))</f>
        <v/>
      </c>
      <c r="H179" s="7" t="n"/>
      <c r="I179" s="6">
        <f>IF(H179&lt;&gt;"",H179,IF(G179="agree",E179,""))</f>
        <v/>
      </c>
    </row>
    <row r="180">
      <c r="A180" s="6" t="inlineStr">
        <is>
          <t>L09</t>
        </is>
      </c>
      <c r="B180" s="6" t="inlineStr">
        <is>
          <t>near-duplicate</t>
        </is>
      </c>
      <c r="C180" s="6" t="inlineStr">
        <is>
          <t>Risk — Data</t>
        </is>
      </c>
      <c r="D180" s="6" t="inlineStr"/>
      <c r="E180" s="6">
        <f>IFERROR(INDEX('Annotator A'!$U$5:$U$44,MATCH($A180,'Annotator A'!$A$5:$A$44,0))&amp;"","")</f>
        <v/>
      </c>
      <c r="F180" s="6">
        <f>IFERROR(INDEX('Annotator B'!$U$5:$U$44,MATCH($A180,'Annotator B'!$A$5:$A$44,0))&amp;"","")</f>
        <v/>
      </c>
      <c r="G180" s="6">
        <f>IF(AND(E180="",F180=""),"",IF(E180=F180,"agree","DIFFER"))</f>
        <v/>
      </c>
      <c r="H180" s="7" t="n"/>
      <c r="I180" s="6">
        <f>IF(H180&lt;&gt;"",H180,IF(G180="agree",E180,""))</f>
        <v/>
      </c>
    </row>
    <row r="181">
      <c r="A181" s="6" t="inlineStr">
        <is>
          <t>L09</t>
        </is>
      </c>
      <c r="B181" s="6" t="inlineStr">
        <is>
          <t>near-duplicate</t>
        </is>
      </c>
      <c r="C181" s="6" t="inlineStr">
        <is>
          <t>Risk — Vendor</t>
        </is>
      </c>
      <c r="D181" s="6" t="inlineStr"/>
      <c r="E181" s="6">
        <f>IFERROR(INDEX('Annotator A'!$V$5:$V$44,MATCH($A181,'Annotator A'!$A$5:$A$44,0))&amp;"","")</f>
        <v/>
      </c>
      <c r="F181" s="6">
        <f>IFERROR(INDEX('Annotator B'!$V$5:$V$44,MATCH($A181,'Annotator B'!$A$5:$A$44,0))&amp;"","")</f>
        <v/>
      </c>
      <c r="G181" s="6">
        <f>IF(AND(E181="",F181=""),"",IF(E181=F181,"agree","DIFFER"))</f>
        <v/>
      </c>
      <c r="H181" s="7" t="n"/>
      <c r="I181" s="6">
        <f>IF(H181&lt;&gt;"",H181,IF(G181="agree",E181,""))</f>
        <v/>
      </c>
    </row>
    <row r="182">
      <c r="A182" s="6" t="inlineStr">
        <is>
          <t>L10</t>
        </is>
      </c>
      <c r="B182" s="6" t="inlineStr">
        <is>
          <t>near-duplicate</t>
        </is>
      </c>
      <c r="C182" s="6" t="inlineStr">
        <is>
          <t>Use cases</t>
        </is>
      </c>
      <c r="D182" s="6" t="inlineStr">
        <is>
          <t>reorganise shared drive into consistent top-level folders</t>
        </is>
      </c>
      <c r="E182" s="6">
        <f>IFERROR(INDEX('Annotator A'!$C$5:$C$44,MATCH($A182,'Annotator A'!$A$5:$A$44,0))&amp;"","")</f>
        <v/>
      </c>
      <c r="F182" s="6">
        <f>IFERROR(INDEX('Annotator B'!$C$5:$C$44,MATCH($A182,'Annotator B'!$A$5:$A$44,0))&amp;"","")</f>
        <v/>
      </c>
      <c r="G182" s="6" t="inlineStr">
        <is>
          <t>read both</t>
        </is>
      </c>
      <c r="H182" s="7" t="n"/>
      <c r="I182" s="6">
        <f>IF(H182&lt;&gt;"",H182,"")</f>
        <v/>
      </c>
    </row>
    <row r="183">
      <c r="A183" s="6" t="inlineStr">
        <is>
          <t>L10</t>
        </is>
      </c>
      <c r="B183" s="6" t="inlineStr">
        <is>
          <t>near-duplicate</t>
        </is>
      </c>
      <c r="C183" s="6" t="inlineStr">
        <is>
          <t>Value — Business impact</t>
        </is>
      </c>
      <c r="D183" s="6" t="inlineStr"/>
      <c r="E183" s="6">
        <f>IFERROR(INDEX('Annotator A'!$D$5:$D$44,MATCH($A183,'Annotator A'!$A$5:$A$44,0))&amp;"","")</f>
        <v/>
      </c>
      <c r="F183" s="6">
        <f>IFERROR(INDEX('Annotator B'!$D$5:$D$44,MATCH($A183,'Annotator B'!$A$5:$A$44,0))&amp;"","")</f>
        <v/>
      </c>
      <c r="G183" s="6">
        <f>IF(AND(E183="",F183=""),"",IF(E183=F183,"agree","DIFFER"))</f>
        <v/>
      </c>
      <c r="H183" s="7" t="n"/>
      <c r="I183" s="6">
        <f>IF(H183&lt;&gt;"",H183,IF(G183="agree",E183,""))</f>
        <v/>
      </c>
    </row>
    <row r="184">
      <c r="A184" s="6" t="inlineStr">
        <is>
          <t>L10</t>
        </is>
      </c>
      <c r="B184" s="6" t="inlineStr">
        <is>
          <t>near-duplicate</t>
        </is>
      </c>
      <c r="C184" s="6" t="inlineStr">
        <is>
          <t>Value — Productivity</t>
        </is>
      </c>
      <c r="D184" s="6" t="inlineStr">
        <is>
          <t>Low</t>
        </is>
      </c>
      <c r="E184" s="6">
        <f>IFERROR(INDEX('Annotator A'!$E$5:$E$44,MATCH($A184,'Annotator A'!$A$5:$A$44,0))&amp;"","")</f>
        <v/>
      </c>
      <c r="F184" s="6">
        <f>IFERROR(INDEX('Annotator B'!$E$5:$E$44,MATCH($A184,'Annotator B'!$A$5:$A$44,0))&amp;"","")</f>
        <v/>
      </c>
      <c r="G184" s="6">
        <f>IF(AND(E184="",F184=""),"",IF(E184=F184,"agree","DIFFER"))</f>
        <v/>
      </c>
      <c r="H184" s="7" t="n"/>
      <c r="I184" s="6">
        <f>IF(H184&lt;&gt;"",H184,IF(G184="agree",E184,""))</f>
        <v/>
      </c>
    </row>
    <row r="185">
      <c r="A185" s="6" t="inlineStr">
        <is>
          <t>L10</t>
        </is>
      </c>
      <c r="B185" s="6" t="inlineStr">
        <is>
          <t>near-duplicate</t>
        </is>
      </c>
      <c r="C185" s="6" t="inlineStr">
        <is>
          <t>Value — Cost reduction</t>
        </is>
      </c>
      <c r="D185" s="6" t="inlineStr"/>
      <c r="E185" s="6">
        <f>IFERROR(INDEX('Annotator A'!$F$5:$F$44,MATCH($A185,'Annotator A'!$A$5:$A$44,0))&amp;"","")</f>
        <v/>
      </c>
      <c r="F185" s="6">
        <f>IFERROR(INDEX('Annotator B'!$F$5:$F$44,MATCH($A185,'Annotator B'!$A$5:$A$44,0))&amp;"","")</f>
        <v/>
      </c>
      <c r="G185" s="6">
        <f>IF(AND(E185="",F185=""),"",IF(E185=F185,"agree","DIFFER"))</f>
        <v/>
      </c>
      <c r="H185" s="7" t="n"/>
      <c r="I185" s="6">
        <f>IF(H185&lt;&gt;"",H185,IF(G185="agree",E185,""))</f>
        <v/>
      </c>
    </row>
    <row r="186">
      <c r="A186" s="6" t="inlineStr">
        <is>
          <t>L10</t>
        </is>
      </c>
      <c r="B186" s="6" t="inlineStr">
        <is>
          <t>near-duplicate</t>
        </is>
      </c>
      <c r="C186" s="6" t="inlineStr">
        <is>
          <t>Value — Revenue</t>
        </is>
      </c>
      <c r="D186" s="6" t="inlineStr"/>
      <c r="E186" s="6">
        <f>IFERROR(INDEX('Annotator A'!$G$5:$G$44,MATCH($A186,'Annotator A'!$A$5:$A$44,0))&amp;"","")</f>
        <v/>
      </c>
      <c r="F186" s="6">
        <f>IFERROR(INDEX('Annotator B'!$G$5:$G$44,MATCH($A186,'Annotator B'!$A$5:$A$44,0))&amp;"","")</f>
        <v/>
      </c>
      <c r="G186" s="6">
        <f>IF(AND(E186="",F186=""),"",IF(E186=F186,"agree","DIFFER"))</f>
        <v/>
      </c>
      <c r="H186" s="7" t="n"/>
      <c r="I186" s="6">
        <f>IF(H186&lt;&gt;"",H186,IF(G186="agree",E186,""))</f>
        <v/>
      </c>
    </row>
    <row r="187">
      <c r="A187" s="6" t="inlineStr">
        <is>
          <t>L10</t>
        </is>
      </c>
      <c r="B187" s="6" t="inlineStr">
        <is>
          <t>near-duplicate</t>
        </is>
      </c>
      <c r="C187" s="6" t="inlineStr">
        <is>
          <t>Value — Employee experience</t>
        </is>
      </c>
      <c r="D187" s="6" t="inlineStr"/>
      <c r="E187" s="6">
        <f>IFERROR(INDEX('Annotator A'!$H$5:$H$44,MATCH($A187,'Annotator A'!$A$5:$A$44,0))&amp;"","")</f>
        <v/>
      </c>
      <c r="F187" s="6">
        <f>IFERROR(INDEX('Annotator B'!$H$5:$H$44,MATCH($A187,'Annotator B'!$A$5:$A$44,0))&amp;"","")</f>
        <v/>
      </c>
      <c r="G187" s="6">
        <f>IF(AND(E187="",F187=""),"",IF(E187=F187,"agree","DIFFER"))</f>
        <v/>
      </c>
      <c r="H187" s="7" t="n"/>
      <c r="I187" s="6">
        <f>IF(H187&lt;&gt;"",H187,IF(G187="agree",E187,""))</f>
        <v/>
      </c>
    </row>
    <row r="188">
      <c r="A188" s="6" t="inlineStr">
        <is>
          <t>L10</t>
        </is>
      </c>
      <c r="B188" s="6" t="inlineStr">
        <is>
          <t>near-duplicate</t>
        </is>
      </c>
      <c r="C188" s="6" t="inlineStr">
        <is>
          <t>Value — Customer impact</t>
        </is>
      </c>
      <c r="D188" s="6" t="inlineStr"/>
      <c r="E188" s="6">
        <f>IFERROR(INDEX('Annotator A'!$I$5:$I$44,MATCH($A188,'Annotator A'!$A$5:$A$44,0))&amp;"","")</f>
        <v/>
      </c>
      <c r="F188" s="6">
        <f>IFERROR(INDEX('Annotator B'!$I$5:$I$44,MATCH($A188,'Annotator B'!$A$5:$A$44,0))&amp;"","")</f>
        <v/>
      </c>
      <c r="G188" s="6">
        <f>IF(AND(E188="",F188=""),"",IF(E188=F188,"agree","DIFFER"))</f>
        <v/>
      </c>
      <c r="H188" s="7" t="n"/>
      <c r="I188" s="6">
        <f>IF(H188&lt;&gt;"",H188,IF(G188="agree",E188,""))</f>
        <v/>
      </c>
    </row>
    <row r="189">
      <c r="A189" s="6" t="inlineStr">
        <is>
          <t>L10</t>
        </is>
      </c>
      <c r="B189" s="6" t="inlineStr">
        <is>
          <t>near-duplicate</t>
        </is>
      </c>
      <c r="C189" s="6" t="inlineStr">
        <is>
          <t>Value — Operational</t>
        </is>
      </c>
      <c r="D189" s="6" t="inlineStr"/>
      <c r="E189" s="6">
        <f>IFERROR(INDEX('Annotator A'!$J$5:$J$44,MATCH($A189,'Annotator A'!$A$5:$A$44,0))&amp;"","")</f>
        <v/>
      </c>
      <c r="F189" s="6">
        <f>IFERROR(INDEX('Annotator B'!$J$5:$J$44,MATCH($A189,'Annotator B'!$A$5:$A$44,0))&amp;"","")</f>
        <v/>
      </c>
      <c r="G189" s="6">
        <f>IF(AND(E189="",F189=""),"",IF(E189=F189,"agree","DIFFER"))</f>
        <v/>
      </c>
      <c r="H189" s="7" t="n"/>
      <c r="I189" s="6">
        <f>IF(H189&lt;&gt;"",H189,IF(G189="agree",E189,""))</f>
        <v/>
      </c>
    </row>
    <row r="190">
      <c r="A190" s="6" t="inlineStr">
        <is>
          <t>L10</t>
        </is>
      </c>
      <c r="B190" s="6" t="inlineStr">
        <is>
          <t>near-duplicate</t>
        </is>
      </c>
      <c r="C190" s="6" t="inlineStr">
        <is>
          <t>Value — Problem severity</t>
        </is>
      </c>
      <c r="D190" s="6" t="inlineStr"/>
      <c r="E190" s="6">
        <f>IFERROR(INDEX('Annotator A'!$K$5:$K$44,MATCH($A190,'Annotator A'!$A$5:$A$44,0))&amp;"","")</f>
        <v/>
      </c>
      <c r="F190" s="6">
        <f>IFERROR(INDEX('Annotator B'!$K$5:$K$44,MATCH($A190,'Annotator B'!$A$5:$A$44,0))&amp;"","")</f>
        <v/>
      </c>
      <c r="G190" s="6">
        <f>IF(AND(E190="",F190=""),"",IF(E190=F190,"agree","DIFFER"))</f>
        <v/>
      </c>
      <c r="H190" s="7" t="n"/>
      <c r="I190" s="6">
        <f>IF(H190&lt;&gt;"",H190,IF(G190="agree",E190,""))</f>
        <v/>
      </c>
    </row>
    <row r="191">
      <c r="A191" s="6" t="inlineStr">
        <is>
          <t>L10</t>
        </is>
      </c>
      <c r="B191" s="6" t="inlineStr">
        <is>
          <t>near-duplicate</t>
        </is>
      </c>
      <c r="C191" s="6" t="inlineStr">
        <is>
          <t>Value — Problem frequency</t>
        </is>
      </c>
      <c r="D191" s="6" t="inlineStr">
        <is>
          <t>Moderate</t>
        </is>
      </c>
      <c r="E191" s="6">
        <f>IFERROR(INDEX('Annotator A'!$L$5:$L$44,MATCH($A191,'Annotator A'!$A$5:$A$44,0))&amp;"","")</f>
        <v/>
      </c>
      <c r="F191" s="6">
        <f>IFERROR(INDEX('Annotator B'!$L$5:$L$44,MATCH($A191,'Annotator B'!$A$5:$A$44,0))&amp;"","")</f>
        <v/>
      </c>
      <c r="G191" s="6">
        <f>IF(AND(E191="",F191=""),"",IF(E191=F191,"agree","DIFFER"))</f>
        <v/>
      </c>
      <c r="H191" s="7" t="n"/>
      <c r="I191" s="6">
        <f>IF(H191&lt;&gt;"",H191,IF(G191="agree",E191,""))</f>
        <v/>
      </c>
    </row>
    <row r="192">
      <c r="A192" s="6" t="inlineStr">
        <is>
          <t>L10</t>
        </is>
      </c>
      <c r="B192" s="6" t="inlineStr">
        <is>
          <t>near-duplicate</t>
        </is>
      </c>
      <c r="C192" s="6" t="inlineStr">
        <is>
          <t>Feasibility status</t>
        </is>
      </c>
      <c r="D192" s="6" t="inlineStr">
        <is>
          <t>HIGHLY_FEASIBLE</t>
        </is>
      </c>
      <c r="E192" s="6">
        <f>IFERROR(INDEX('Annotator A'!$M$5:$M$44,MATCH($A192,'Annotator A'!$A$5:$A$44,0))&amp;"","")</f>
        <v/>
      </c>
      <c r="F192" s="6">
        <f>IFERROR(INDEX('Annotator B'!$M$5:$M$44,MATCH($A192,'Annotator B'!$A$5:$A$44,0))&amp;"","")</f>
        <v/>
      </c>
      <c r="G192" s="6">
        <f>IF(AND(E192="",F192=""),"",IF(E192=F192,"agree","DIFFER"))</f>
        <v/>
      </c>
      <c r="H192" s="7" t="n"/>
      <c r="I192" s="6">
        <f>IF(H192&lt;&gt;"",H192,IF(G192="agree",E192,""))</f>
        <v/>
      </c>
    </row>
    <row r="193">
      <c r="A193" s="6" t="inlineStr">
        <is>
          <t>L10</t>
        </is>
      </c>
      <c r="B193" s="6" t="inlineStr">
        <is>
          <t>near-duplicate</t>
        </is>
      </c>
      <c r="C193" s="6" t="inlineStr">
        <is>
          <t>Risk — Technical</t>
        </is>
      </c>
      <c r="D193" s="6" t="inlineStr"/>
      <c r="E193" s="6">
        <f>IFERROR(INDEX('Annotator A'!$N$5:$N$44,MATCH($A193,'Annotator A'!$A$5:$A$44,0))&amp;"","")</f>
        <v/>
      </c>
      <c r="F193" s="6">
        <f>IFERROR(INDEX('Annotator B'!$N$5:$N$44,MATCH($A193,'Annotator B'!$A$5:$A$44,0))&amp;"","")</f>
        <v/>
      </c>
      <c r="G193" s="6">
        <f>IF(AND(E193="",F193=""),"",IF(E193=F193,"agree","DIFFER"))</f>
        <v/>
      </c>
      <c r="H193" s="7" t="n"/>
      <c r="I193" s="6">
        <f>IF(H193&lt;&gt;"",H193,IF(G193="agree",E193,""))</f>
        <v/>
      </c>
    </row>
    <row r="194">
      <c r="A194" s="6" t="inlineStr">
        <is>
          <t>L10</t>
        </is>
      </c>
      <c r="B194" s="6" t="inlineStr">
        <is>
          <t>near-duplicate</t>
        </is>
      </c>
      <c r="C194" s="6" t="inlineStr">
        <is>
          <t>Risk — Security</t>
        </is>
      </c>
      <c r="D194" s="6" t="inlineStr"/>
      <c r="E194" s="6">
        <f>IFERROR(INDEX('Annotator A'!$O$5:$O$44,MATCH($A194,'Annotator A'!$A$5:$A$44,0))&amp;"","")</f>
        <v/>
      </c>
      <c r="F194" s="6">
        <f>IFERROR(INDEX('Annotator B'!$O$5:$O$44,MATCH($A194,'Annotator B'!$A$5:$A$44,0))&amp;"","")</f>
        <v/>
      </c>
      <c r="G194" s="6">
        <f>IF(AND(E194="",F194=""),"",IF(E194=F194,"agree","DIFFER"))</f>
        <v/>
      </c>
      <c r="H194" s="7" t="n"/>
      <c r="I194" s="6">
        <f>IF(H194&lt;&gt;"",H194,IF(G194="agree",E194,""))</f>
        <v/>
      </c>
    </row>
    <row r="195">
      <c r="A195" s="6" t="inlineStr">
        <is>
          <t>L10</t>
        </is>
      </c>
      <c r="B195" s="6" t="inlineStr">
        <is>
          <t>near-duplicate</t>
        </is>
      </c>
      <c r="C195" s="6" t="inlineStr">
        <is>
          <t>Risk — Privacy</t>
        </is>
      </c>
      <c r="D195" s="6" t="inlineStr"/>
      <c r="E195" s="6">
        <f>IFERROR(INDEX('Annotator A'!$P$5:$P$44,MATCH($A195,'Annotator A'!$A$5:$A$44,0))&amp;"","")</f>
        <v/>
      </c>
      <c r="F195" s="6">
        <f>IFERROR(INDEX('Annotator B'!$P$5:$P$44,MATCH($A195,'Annotator B'!$A$5:$A$44,0))&amp;"","")</f>
        <v/>
      </c>
      <c r="G195" s="6">
        <f>IF(AND(E195="",F195=""),"",IF(E195=F195,"agree","DIFFER"))</f>
        <v/>
      </c>
      <c r="H195" s="7" t="n"/>
      <c r="I195" s="6">
        <f>IF(H195&lt;&gt;"",H195,IF(G195="agree",E195,""))</f>
        <v/>
      </c>
    </row>
    <row r="196">
      <c r="A196" s="6" t="inlineStr">
        <is>
          <t>L10</t>
        </is>
      </c>
      <c r="B196" s="6" t="inlineStr">
        <is>
          <t>near-duplicate</t>
        </is>
      </c>
      <c r="C196" s="6" t="inlineStr">
        <is>
          <t>Risk — Compliance</t>
        </is>
      </c>
      <c r="D196" s="6" t="inlineStr"/>
      <c r="E196" s="6">
        <f>IFERROR(INDEX('Annotator A'!$Q$5:$Q$44,MATCH($A196,'Annotator A'!$A$5:$A$44,0))&amp;"","")</f>
        <v/>
      </c>
      <c r="F196" s="6">
        <f>IFERROR(INDEX('Annotator B'!$Q$5:$Q$44,MATCH($A196,'Annotator B'!$A$5:$A$44,0))&amp;"","")</f>
        <v/>
      </c>
      <c r="G196" s="6">
        <f>IF(AND(E196="",F196=""),"",IF(E196=F196,"agree","DIFFER"))</f>
        <v/>
      </c>
      <c r="H196" s="7" t="n"/>
      <c r="I196" s="6">
        <f>IF(H196&lt;&gt;"",H196,IF(G196="agree",E196,""))</f>
        <v/>
      </c>
    </row>
    <row r="197">
      <c r="A197" s="6" t="inlineStr">
        <is>
          <t>L10</t>
        </is>
      </c>
      <c r="B197" s="6" t="inlineStr">
        <is>
          <t>near-duplicate</t>
        </is>
      </c>
      <c r="C197" s="6" t="inlineStr">
        <is>
          <t>Risk — Financial</t>
        </is>
      </c>
      <c r="D197" s="6" t="inlineStr"/>
      <c r="E197" s="6">
        <f>IFERROR(INDEX('Annotator A'!$R$5:$R$44,MATCH($A197,'Annotator A'!$A$5:$A$44,0))&amp;"","")</f>
        <v/>
      </c>
      <c r="F197" s="6">
        <f>IFERROR(INDEX('Annotator B'!$R$5:$R$44,MATCH($A197,'Annotator B'!$A$5:$A$44,0))&amp;"","")</f>
        <v/>
      </c>
      <c r="G197" s="6">
        <f>IF(AND(E197="",F197=""),"",IF(E197=F197,"agree","DIFFER"))</f>
        <v/>
      </c>
      <c r="H197" s="7" t="n"/>
      <c r="I197" s="6">
        <f>IF(H197&lt;&gt;"",H197,IF(G197="agree",E197,""))</f>
        <v/>
      </c>
    </row>
    <row r="198">
      <c r="A198" s="6" t="inlineStr">
        <is>
          <t>L10</t>
        </is>
      </c>
      <c r="B198" s="6" t="inlineStr">
        <is>
          <t>near-duplicate</t>
        </is>
      </c>
      <c r="C198" s="6" t="inlineStr">
        <is>
          <t>Risk — Operational</t>
        </is>
      </c>
      <c r="D198" s="6" t="inlineStr"/>
      <c r="E198" s="6">
        <f>IFERROR(INDEX('Annotator A'!$S$5:$S$44,MATCH($A198,'Annotator A'!$A$5:$A$44,0))&amp;"","")</f>
        <v/>
      </c>
      <c r="F198" s="6">
        <f>IFERROR(INDEX('Annotator B'!$S$5:$S$44,MATCH($A198,'Annotator B'!$A$5:$A$44,0))&amp;"","")</f>
        <v/>
      </c>
      <c r="G198" s="6">
        <f>IF(AND(E198="",F198=""),"",IF(E198=F198,"agree","DIFFER"))</f>
        <v/>
      </c>
      <c r="H198" s="7" t="n"/>
      <c r="I198" s="6">
        <f>IF(H198&lt;&gt;"",H198,IF(G198="agree",E198,""))</f>
        <v/>
      </c>
    </row>
    <row r="199">
      <c r="A199" s="6" t="inlineStr">
        <is>
          <t>L10</t>
        </is>
      </c>
      <c r="B199" s="6" t="inlineStr">
        <is>
          <t>near-duplicate</t>
        </is>
      </c>
      <c r="C199" s="6" t="inlineStr">
        <is>
          <t>Risk — Adoption</t>
        </is>
      </c>
      <c r="D199" s="6" t="inlineStr"/>
      <c r="E199" s="6">
        <f>IFERROR(INDEX('Annotator A'!$T$5:$T$44,MATCH($A199,'Annotator A'!$A$5:$A$44,0))&amp;"","")</f>
        <v/>
      </c>
      <c r="F199" s="6">
        <f>IFERROR(INDEX('Annotator B'!$T$5:$T$44,MATCH($A199,'Annotator B'!$A$5:$A$44,0))&amp;"","")</f>
        <v/>
      </c>
      <c r="G199" s="6">
        <f>IF(AND(E199="",F199=""),"",IF(E199=F199,"agree","DIFFER"))</f>
        <v/>
      </c>
      <c r="H199" s="7" t="n"/>
      <c r="I199" s="6">
        <f>IF(H199&lt;&gt;"",H199,IF(G199="agree",E199,""))</f>
        <v/>
      </c>
    </row>
    <row r="200">
      <c r="A200" s="6" t="inlineStr">
        <is>
          <t>L10</t>
        </is>
      </c>
      <c r="B200" s="6" t="inlineStr">
        <is>
          <t>near-duplicate</t>
        </is>
      </c>
      <c r="C200" s="6" t="inlineStr">
        <is>
          <t>Risk — Data</t>
        </is>
      </c>
      <c r="D200" s="6" t="inlineStr"/>
      <c r="E200" s="6">
        <f>IFERROR(INDEX('Annotator A'!$U$5:$U$44,MATCH($A200,'Annotator A'!$A$5:$A$44,0))&amp;"","")</f>
        <v/>
      </c>
      <c r="F200" s="6">
        <f>IFERROR(INDEX('Annotator B'!$U$5:$U$44,MATCH($A200,'Annotator B'!$A$5:$A$44,0))&amp;"","")</f>
        <v/>
      </c>
      <c r="G200" s="6">
        <f>IF(AND(E200="",F200=""),"",IF(E200=F200,"agree","DIFFER"))</f>
        <v/>
      </c>
      <c r="H200" s="7" t="n"/>
      <c r="I200" s="6">
        <f>IF(H200&lt;&gt;"",H200,IF(G200="agree",E200,""))</f>
        <v/>
      </c>
    </row>
    <row r="201">
      <c r="A201" s="6" t="inlineStr">
        <is>
          <t>L10</t>
        </is>
      </c>
      <c r="B201" s="6" t="inlineStr">
        <is>
          <t>near-duplicate</t>
        </is>
      </c>
      <c r="C201" s="6" t="inlineStr">
        <is>
          <t>Risk — Vendor</t>
        </is>
      </c>
      <c r="D201" s="6" t="inlineStr"/>
      <c r="E201" s="6">
        <f>IFERROR(INDEX('Annotator A'!$V$5:$V$44,MATCH($A201,'Annotator A'!$A$5:$A$44,0))&amp;"","")</f>
        <v/>
      </c>
      <c r="F201" s="6">
        <f>IFERROR(INDEX('Annotator B'!$V$5:$V$44,MATCH($A201,'Annotator B'!$A$5:$A$44,0))&amp;"","")</f>
        <v/>
      </c>
      <c r="G201" s="6">
        <f>IF(AND(E201="",F201=""),"",IF(E201=F201,"agree","DIFFER"))</f>
        <v/>
      </c>
      <c r="H201" s="7" t="n"/>
      <c r="I201" s="6">
        <f>IF(H201&lt;&gt;"",H201,IF(G201="agree",E201,""))</f>
        <v/>
      </c>
    </row>
    <row r="202">
      <c r="A202" s="6" t="inlineStr">
        <is>
          <t>L11</t>
        </is>
      </c>
      <c r="B202" s="6" t="inlineStr">
        <is>
          <t>strong</t>
        </is>
      </c>
      <c r="C202" s="6" t="inlineStr">
        <is>
          <t>Use cases</t>
        </is>
      </c>
      <c r="D202" s="6" t="inlineStr">
        <is>
          <t>self-service identity verification via MFA
employee resets own password without a ticket</t>
        </is>
      </c>
      <c r="E202" s="6">
        <f>IFERROR(INDEX('Annotator A'!$C$5:$C$44,MATCH($A202,'Annotator A'!$A$5:$A$44,0))&amp;"","")</f>
        <v/>
      </c>
      <c r="F202" s="6">
        <f>IFERROR(INDEX('Annotator B'!$C$5:$C$44,MATCH($A202,'Annotator B'!$A$5:$A$44,0))&amp;"","")</f>
        <v/>
      </c>
      <c r="G202" s="6" t="inlineStr">
        <is>
          <t>read both</t>
        </is>
      </c>
      <c r="H202" s="7" t="n"/>
      <c r="I202" s="6">
        <f>IF(H202&lt;&gt;"",H202,"")</f>
        <v/>
      </c>
    </row>
    <row r="203">
      <c r="A203" s="6" t="inlineStr">
        <is>
          <t>L11</t>
        </is>
      </c>
      <c r="B203" s="6" t="inlineStr">
        <is>
          <t>strong</t>
        </is>
      </c>
      <c r="C203" s="6" t="inlineStr">
        <is>
          <t>Value — Business impact</t>
        </is>
      </c>
      <c r="D203" s="6" t="inlineStr"/>
      <c r="E203" s="6">
        <f>IFERROR(INDEX('Annotator A'!$D$5:$D$44,MATCH($A203,'Annotator A'!$A$5:$A$44,0))&amp;"","")</f>
        <v/>
      </c>
      <c r="F203" s="6">
        <f>IFERROR(INDEX('Annotator B'!$D$5:$D$44,MATCH($A203,'Annotator B'!$A$5:$A$44,0))&amp;"","")</f>
        <v/>
      </c>
      <c r="G203" s="6">
        <f>IF(AND(E203="",F203=""),"",IF(E203=F203,"agree","DIFFER"))</f>
        <v/>
      </c>
      <c r="H203" s="7" t="n"/>
      <c r="I203" s="6">
        <f>IF(H203&lt;&gt;"",H203,IF(G203="agree",E203,""))</f>
        <v/>
      </c>
    </row>
    <row r="204">
      <c r="A204" s="6" t="inlineStr">
        <is>
          <t>L11</t>
        </is>
      </c>
      <c r="B204" s="6" t="inlineStr">
        <is>
          <t>strong</t>
        </is>
      </c>
      <c r="C204" s="6" t="inlineStr">
        <is>
          <t>Value — Productivity</t>
        </is>
      </c>
      <c r="D204" s="6" t="inlineStr">
        <is>
          <t>High</t>
        </is>
      </c>
      <c r="E204" s="6">
        <f>IFERROR(INDEX('Annotator A'!$E$5:$E$44,MATCH($A204,'Annotator A'!$A$5:$A$44,0))&amp;"","")</f>
        <v/>
      </c>
      <c r="F204" s="6">
        <f>IFERROR(INDEX('Annotator B'!$E$5:$E$44,MATCH($A204,'Annotator B'!$A$5:$A$44,0))&amp;"","")</f>
        <v/>
      </c>
      <c r="G204" s="6">
        <f>IF(AND(E204="",F204=""),"",IF(E204=F204,"agree","DIFFER"))</f>
        <v/>
      </c>
      <c r="H204" s="7" t="n"/>
      <c r="I204" s="6">
        <f>IF(H204&lt;&gt;"",H204,IF(G204="agree",E204,""))</f>
        <v/>
      </c>
    </row>
    <row r="205">
      <c r="A205" s="6" t="inlineStr">
        <is>
          <t>L11</t>
        </is>
      </c>
      <c r="B205" s="6" t="inlineStr">
        <is>
          <t>strong</t>
        </is>
      </c>
      <c r="C205" s="6" t="inlineStr">
        <is>
          <t>Value — Cost reduction</t>
        </is>
      </c>
      <c r="D205" s="6" t="inlineStr">
        <is>
          <t>Moderate</t>
        </is>
      </c>
      <c r="E205" s="6">
        <f>IFERROR(INDEX('Annotator A'!$F$5:$F$44,MATCH($A205,'Annotator A'!$A$5:$A$44,0))&amp;"","")</f>
        <v/>
      </c>
      <c r="F205" s="6">
        <f>IFERROR(INDEX('Annotator B'!$F$5:$F$44,MATCH($A205,'Annotator B'!$A$5:$A$44,0))&amp;"","")</f>
        <v/>
      </c>
      <c r="G205" s="6">
        <f>IF(AND(E205="",F205=""),"",IF(E205=F205,"agree","DIFFER"))</f>
        <v/>
      </c>
      <c r="H205" s="7" t="n"/>
      <c r="I205" s="6">
        <f>IF(H205&lt;&gt;"",H205,IF(G205="agree",E205,""))</f>
        <v/>
      </c>
    </row>
    <row r="206">
      <c r="A206" s="6" t="inlineStr">
        <is>
          <t>L11</t>
        </is>
      </c>
      <c r="B206" s="6" t="inlineStr">
        <is>
          <t>strong</t>
        </is>
      </c>
      <c r="C206" s="6" t="inlineStr">
        <is>
          <t>Value — Revenue</t>
        </is>
      </c>
      <c r="D206" s="6" t="inlineStr"/>
      <c r="E206" s="6">
        <f>IFERROR(INDEX('Annotator A'!$G$5:$G$44,MATCH($A206,'Annotator A'!$A$5:$A$44,0))&amp;"","")</f>
        <v/>
      </c>
      <c r="F206" s="6">
        <f>IFERROR(INDEX('Annotator B'!$G$5:$G$44,MATCH($A206,'Annotator B'!$A$5:$A$44,0))&amp;"","")</f>
        <v/>
      </c>
      <c r="G206" s="6">
        <f>IF(AND(E206="",F206=""),"",IF(E206=F206,"agree","DIFFER"))</f>
        <v/>
      </c>
      <c r="H206" s="7" t="n"/>
      <c r="I206" s="6">
        <f>IF(H206&lt;&gt;"",H206,IF(G206="agree",E206,""))</f>
        <v/>
      </c>
    </row>
    <row r="207">
      <c r="A207" s="6" t="inlineStr">
        <is>
          <t>L11</t>
        </is>
      </c>
      <c r="B207" s="6" t="inlineStr">
        <is>
          <t>strong</t>
        </is>
      </c>
      <c r="C207" s="6" t="inlineStr">
        <is>
          <t>Value — Employee experience</t>
        </is>
      </c>
      <c r="D207" s="6" t="inlineStr"/>
      <c r="E207" s="6">
        <f>IFERROR(INDEX('Annotator A'!$H$5:$H$44,MATCH($A207,'Annotator A'!$A$5:$A$44,0))&amp;"","")</f>
        <v/>
      </c>
      <c r="F207" s="6">
        <f>IFERROR(INDEX('Annotator B'!$H$5:$H$44,MATCH($A207,'Annotator B'!$A$5:$A$44,0))&amp;"","")</f>
        <v/>
      </c>
      <c r="G207" s="6">
        <f>IF(AND(E207="",F207=""),"",IF(E207=F207,"agree","DIFFER"))</f>
        <v/>
      </c>
      <c r="H207" s="7" t="n"/>
      <c r="I207" s="6">
        <f>IF(H207&lt;&gt;"",H207,IF(G207="agree",E207,""))</f>
        <v/>
      </c>
    </row>
    <row r="208">
      <c r="A208" s="6" t="inlineStr">
        <is>
          <t>L11</t>
        </is>
      </c>
      <c r="B208" s="6" t="inlineStr">
        <is>
          <t>strong</t>
        </is>
      </c>
      <c r="C208" s="6" t="inlineStr">
        <is>
          <t>Value — Customer impact</t>
        </is>
      </c>
      <c r="D208" s="6" t="inlineStr"/>
      <c r="E208" s="6">
        <f>IFERROR(INDEX('Annotator A'!$I$5:$I$44,MATCH($A208,'Annotator A'!$A$5:$A$44,0))&amp;"","")</f>
        <v/>
      </c>
      <c r="F208" s="6">
        <f>IFERROR(INDEX('Annotator B'!$I$5:$I$44,MATCH($A208,'Annotator B'!$A$5:$A$44,0))&amp;"","")</f>
        <v/>
      </c>
      <c r="G208" s="6">
        <f>IF(AND(E208="",F208=""),"",IF(E208=F208,"agree","DIFFER"))</f>
        <v/>
      </c>
      <c r="H208" s="7" t="n"/>
      <c r="I208" s="6">
        <f>IF(H208&lt;&gt;"",H208,IF(G208="agree",E208,""))</f>
        <v/>
      </c>
    </row>
    <row r="209">
      <c r="A209" s="6" t="inlineStr">
        <is>
          <t>L11</t>
        </is>
      </c>
      <c r="B209" s="6" t="inlineStr">
        <is>
          <t>strong</t>
        </is>
      </c>
      <c r="C209" s="6" t="inlineStr">
        <is>
          <t>Value — Operational</t>
        </is>
      </c>
      <c r="D209" s="6" t="inlineStr"/>
      <c r="E209" s="6">
        <f>IFERROR(INDEX('Annotator A'!$J$5:$J$44,MATCH($A209,'Annotator A'!$A$5:$A$44,0))&amp;"","")</f>
        <v/>
      </c>
      <c r="F209" s="6">
        <f>IFERROR(INDEX('Annotator B'!$J$5:$J$44,MATCH($A209,'Annotator B'!$A$5:$A$44,0))&amp;"","")</f>
        <v/>
      </c>
      <c r="G209" s="6">
        <f>IF(AND(E209="",F209=""),"",IF(E209=F209,"agree","DIFFER"))</f>
        <v/>
      </c>
      <c r="H209" s="7" t="n"/>
      <c r="I209" s="6">
        <f>IF(H209&lt;&gt;"",H209,IF(G209="agree",E209,""))</f>
        <v/>
      </c>
    </row>
    <row r="210">
      <c r="A210" s="6" t="inlineStr">
        <is>
          <t>L11</t>
        </is>
      </c>
      <c r="B210" s="6" t="inlineStr">
        <is>
          <t>strong</t>
        </is>
      </c>
      <c r="C210" s="6" t="inlineStr">
        <is>
          <t>Value — Problem severity</t>
        </is>
      </c>
      <c r="D210" s="6" t="inlineStr"/>
      <c r="E210" s="6">
        <f>IFERROR(INDEX('Annotator A'!$K$5:$K$44,MATCH($A210,'Annotator A'!$A$5:$A$44,0))&amp;"","")</f>
        <v/>
      </c>
      <c r="F210" s="6">
        <f>IFERROR(INDEX('Annotator B'!$K$5:$K$44,MATCH($A210,'Annotator B'!$A$5:$A$44,0))&amp;"","")</f>
        <v/>
      </c>
      <c r="G210" s="6">
        <f>IF(AND(E210="",F210=""),"",IF(E210=F210,"agree","DIFFER"))</f>
        <v/>
      </c>
      <c r="H210" s="7" t="n"/>
      <c r="I210" s="6">
        <f>IF(H210&lt;&gt;"",H210,IF(G210="agree",E210,""))</f>
        <v/>
      </c>
    </row>
    <row r="211">
      <c r="A211" s="6" t="inlineStr">
        <is>
          <t>L11</t>
        </is>
      </c>
      <c r="B211" s="6" t="inlineStr">
        <is>
          <t>strong</t>
        </is>
      </c>
      <c r="C211" s="6" t="inlineStr">
        <is>
          <t>Value — Problem frequency</t>
        </is>
      </c>
      <c r="D211" s="6" t="inlineStr">
        <is>
          <t>High</t>
        </is>
      </c>
      <c r="E211" s="6">
        <f>IFERROR(INDEX('Annotator A'!$L$5:$L$44,MATCH($A211,'Annotator A'!$A$5:$A$44,0))&amp;"","")</f>
        <v/>
      </c>
      <c r="F211" s="6">
        <f>IFERROR(INDEX('Annotator B'!$L$5:$L$44,MATCH($A211,'Annotator B'!$A$5:$A$44,0))&amp;"","")</f>
        <v/>
      </c>
      <c r="G211" s="6">
        <f>IF(AND(E211="",F211=""),"",IF(E211=F211,"agree","DIFFER"))</f>
        <v/>
      </c>
      <c r="H211" s="7" t="n"/>
      <c r="I211" s="6">
        <f>IF(H211&lt;&gt;"",H211,IF(G211="agree",E211,""))</f>
        <v/>
      </c>
    </row>
    <row r="212">
      <c r="A212" s="6" t="inlineStr">
        <is>
          <t>L11</t>
        </is>
      </c>
      <c r="B212" s="6" t="inlineStr">
        <is>
          <t>strong</t>
        </is>
      </c>
      <c r="C212" s="6" t="inlineStr">
        <is>
          <t>Feasibility status</t>
        </is>
      </c>
      <c r="D212" s="6" t="inlineStr">
        <is>
          <t>HIGHLY_FEASIBLE</t>
        </is>
      </c>
      <c r="E212" s="6">
        <f>IFERROR(INDEX('Annotator A'!$M$5:$M$44,MATCH($A212,'Annotator A'!$A$5:$A$44,0))&amp;"","")</f>
        <v/>
      </c>
      <c r="F212" s="6">
        <f>IFERROR(INDEX('Annotator B'!$M$5:$M$44,MATCH($A212,'Annotator B'!$A$5:$A$44,0))&amp;"","")</f>
        <v/>
      </c>
      <c r="G212" s="6">
        <f>IF(AND(E212="",F212=""),"",IF(E212=F212,"agree","DIFFER"))</f>
        <v/>
      </c>
      <c r="H212" s="7" t="n"/>
      <c r="I212" s="6">
        <f>IF(H212&lt;&gt;"",H212,IF(G212="agree",E212,""))</f>
        <v/>
      </c>
    </row>
    <row r="213">
      <c r="A213" s="6" t="inlineStr">
        <is>
          <t>L11</t>
        </is>
      </c>
      <c r="B213" s="6" t="inlineStr">
        <is>
          <t>strong</t>
        </is>
      </c>
      <c r="C213" s="6" t="inlineStr">
        <is>
          <t>Risk — Technical</t>
        </is>
      </c>
      <c r="D213" s="6" t="inlineStr"/>
      <c r="E213" s="6">
        <f>IFERROR(INDEX('Annotator A'!$N$5:$N$44,MATCH($A213,'Annotator A'!$A$5:$A$44,0))&amp;"","")</f>
        <v/>
      </c>
      <c r="F213" s="6">
        <f>IFERROR(INDEX('Annotator B'!$N$5:$N$44,MATCH($A213,'Annotator B'!$A$5:$A$44,0))&amp;"","")</f>
        <v/>
      </c>
      <c r="G213" s="6">
        <f>IF(AND(E213="",F213=""),"",IF(E213=F213,"agree","DIFFER"))</f>
        <v/>
      </c>
      <c r="H213" s="7" t="n"/>
      <c r="I213" s="6">
        <f>IF(H213&lt;&gt;"",H213,IF(G213="agree",E213,""))</f>
        <v/>
      </c>
    </row>
    <row r="214">
      <c r="A214" s="6" t="inlineStr">
        <is>
          <t>L11</t>
        </is>
      </c>
      <c r="B214" s="6" t="inlineStr">
        <is>
          <t>strong</t>
        </is>
      </c>
      <c r="C214" s="6" t="inlineStr">
        <is>
          <t>Risk — Security</t>
        </is>
      </c>
      <c r="D214" s="6" t="inlineStr">
        <is>
          <t>Yes</t>
        </is>
      </c>
      <c r="E214" s="6">
        <f>IFERROR(INDEX('Annotator A'!$O$5:$O$44,MATCH($A214,'Annotator A'!$A$5:$A$44,0))&amp;"","")</f>
        <v/>
      </c>
      <c r="F214" s="6">
        <f>IFERROR(INDEX('Annotator B'!$O$5:$O$44,MATCH($A214,'Annotator B'!$A$5:$A$44,0))&amp;"","")</f>
        <v/>
      </c>
      <c r="G214" s="6">
        <f>IF(AND(E214="",F214=""),"",IF(E214=F214,"agree","DIFFER"))</f>
        <v/>
      </c>
      <c r="H214" s="7" t="n"/>
      <c r="I214" s="6">
        <f>IF(H214&lt;&gt;"",H214,IF(G214="agree",E214,""))</f>
        <v/>
      </c>
    </row>
    <row r="215">
      <c r="A215" s="6" t="inlineStr">
        <is>
          <t>L11</t>
        </is>
      </c>
      <c r="B215" s="6" t="inlineStr">
        <is>
          <t>strong</t>
        </is>
      </c>
      <c r="C215" s="6" t="inlineStr">
        <is>
          <t>Risk — Privacy</t>
        </is>
      </c>
      <c r="D215" s="6" t="inlineStr"/>
      <c r="E215" s="6">
        <f>IFERROR(INDEX('Annotator A'!$P$5:$P$44,MATCH($A215,'Annotator A'!$A$5:$A$44,0))&amp;"","")</f>
        <v/>
      </c>
      <c r="F215" s="6">
        <f>IFERROR(INDEX('Annotator B'!$P$5:$P$44,MATCH($A215,'Annotator B'!$A$5:$A$44,0))&amp;"","")</f>
        <v/>
      </c>
      <c r="G215" s="6">
        <f>IF(AND(E215="",F215=""),"",IF(E215=F215,"agree","DIFFER"))</f>
        <v/>
      </c>
      <c r="H215" s="7" t="n"/>
      <c r="I215" s="6">
        <f>IF(H215&lt;&gt;"",H215,IF(G215="agree",E215,""))</f>
        <v/>
      </c>
    </row>
    <row r="216">
      <c r="A216" s="6" t="inlineStr">
        <is>
          <t>L11</t>
        </is>
      </c>
      <c r="B216" s="6" t="inlineStr">
        <is>
          <t>strong</t>
        </is>
      </c>
      <c r="C216" s="6" t="inlineStr">
        <is>
          <t>Risk — Compliance</t>
        </is>
      </c>
      <c r="D216" s="6" t="inlineStr"/>
      <c r="E216" s="6">
        <f>IFERROR(INDEX('Annotator A'!$Q$5:$Q$44,MATCH($A216,'Annotator A'!$A$5:$A$44,0))&amp;"","")</f>
        <v/>
      </c>
      <c r="F216" s="6">
        <f>IFERROR(INDEX('Annotator B'!$Q$5:$Q$44,MATCH($A216,'Annotator B'!$A$5:$A$44,0))&amp;"","")</f>
        <v/>
      </c>
      <c r="G216" s="6">
        <f>IF(AND(E216="",F216=""),"",IF(E216=F216,"agree","DIFFER"))</f>
        <v/>
      </c>
      <c r="H216" s="7" t="n"/>
      <c r="I216" s="6">
        <f>IF(H216&lt;&gt;"",H216,IF(G216="agree",E216,""))</f>
        <v/>
      </c>
    </row>
    <row r="217">
      <c r="A217" s="6" t="inlineStr">
        <is>
          <t>L11</t>
        </is>
      </c>
      <c r="B217" s="6" t="inlineStr">
        <is>
          <t>strong</t>
        </is>
      </c>
      <c r="C217" s="6" t="inlineStr">
        <is>
          <t>Risk — Financial</t>
        </is>
      </c>
      <c r="D217" s="6" t="inlineStr"/>
      <c r="E217" s="6">
        <f>IFERROR(INDEX('Annotator A'!$R$5:$R$44,MATCH($A217,'Annotator A'!$A$5:$A$44,0))&amp;"","")</f>
        <v/>
      </c>
      <c r="F217" s="6">
        <f>IFERROR(INDEX('Annotator B'!$R$5:$R$44,MATCH($A217,'Annotator B'!$A$5:$A$44,0))&amp;"","")</f>
        <v/>
      </c>
      <c r="G217" s="6">
        <f>IF(AND(E217="",F217=""),"",IF(E217=F217,"agree","DIFFER"))</f>
        <v/>
      </c>
      <c r="H217" s="7" t="n"/>
      <c r="I217" s="6">
        <f>IF(H217&lt;&gt;"",H217,IF(G217="agree",E217,""))</f>
        <v/>
      </c>
    </row>
    <row r="218">
      <c r="A218" s="6" t="inlineStr">
        <is>
          <t>L11</t>
        </is>
      </c>
      <c r="B218" s="6" t="inlineStr">
        <is>
          <t>strong</t>
        </is>
      </c>
      <c r="C218" s="6" t="inlineStr">
        <is>
          <t>Risk — Operational</t>
        </is>
      </c>
      <c r="D218" s="6" t="inlineStr"/>
      <c r="E218" s="6">
        <f>IFERROR(INDEX('Annotator A'!$S$5:$S$44,MATCH($A218,'Annotator A'!$A$5:$A$44,0))&amp;"","")</f>
        <v/>
      </c>
      <c r="F218" s="6">
        <f>IFERROR(INDEX('Annotator B'!$S$5:$S$44,MATCH($A218,'Annotator B'!$A$5:$A$44,0))&amp;"","")</f>
        <v/>
      </c>
      <c r="G218" s="6">
        <f>IF(AND(E218="",F218=""),"",IF(E218=F218,"agree","DIFFER"))</f>
        <v/>
      </c>
      <c r="H218" s="7" t="n"/>
      <c r="I218" s="6">
        <f>IF(H218&lt;&gt;"",H218,IF(G218="agree",E218,""))</f>
        <v/>
      </c>
    </row>
    <row r="219">
      <c r="A219" s="6" t="inlineStr">
        <is>
          <t>L11</t>
        </is>
      </c>
      <c r="B219" s="6" t="inlineStr">
        <is>
          <t>strong</t>
        </is>
      </c>
      <c r="C219" s="6" t="inlineStr">
        <is>
          <t>Risk — Adoption</t>
        </is>
      </c>
      <c r="D219" s="6" t="inlineStr"/>
      <c r="E219" s="6">
        <f>IFERROR(INDEX('Annotator A'!$T$5:$T$44,MATCH($A219,'Annotator A'!$A$5:$A$44,0))&amp;"","")</f>
        <v/>
      </c>
      <c r="F219" s="6">
        <f>IFERROR(INDEX('Annotator B'!$T$5:$T$44,MATCH($A219,'Annotator B'!$A$5:$A$44,0))&amp;"","")</f>
        <v/>
      </c>
      <c r="G219" s="6">
        <f>IF(AND(E219="",F219=""),"",IF(E219=F219,"agree","DIFFER"))</f>
        <v/>
      </c>
      <c r="H219" s="7" t="n"/>
      <c r="I219" s="6">
        <f>IF(H219&lt;&gt;"",H219,IF(G219="agree",E219,""))</f>
        <v/>
      </c>
    </row>
    <row r="220">
      <c r="A220" s="6" t="inlineStr">
        <is>
          <t>L11</t>
        </is>
      </c>
      <c r="B220" s="6" t="inlineStr">
        <is>
          <t>strong</t>
        </is>
      </c>
      <c r="C220" s="6" t="inlineStr">
        <is>
          <t>Risk — Data</t>
        </is>
      </c>
      <c r="D220" s="6" t="inlineStr"/>
      <c r="E220" s="6">
        <f>IFERROR(INDEX('Annotator A'!$U$5:$U$44,MATCH($A220,'Annotator A'!$A$5:$A$44,0))&amp;"","")</f>
        <v/>
      </c>
      <c r="F220" s="6">
        <f>IFERROR(INDEX('Annotator B'!$U$5:$U$44,MATCH($A220,'Annotator B'!$A$5:$A$44,0))&amp;"","")</f>
        <v/>
      </c>
      <c r="G220" s="6">
        <f>IF(AND(E220="",F220=""),"",IF(E220=F220,"agree","DIFFER"))</f>
        <v/>
      </c>
      <c r="H220" s="7" t="n"/>
      <c r="I220" s="6">
        <f>IF(H220&lt;&gt;"",H220,IF(G220="agree",E220,""))</f>
        <v/>
      </c>
    </row>
    <row r="221">
      <c r="A221" s="6" t="inlineStr">
        <is>
          <t>L11</t>
        </is>
      </c>
      <c r="B221" s="6" t="inlineStr">
        <is>
          <t>strong</t>
        </is>
      </c>
      <c r="C221" s="6" t="inlineStr">
        <is>
          <t>Risk — Vendor</t>
        </is>
      </c>
      <c r="D221" s="6" t="inlineStr"/>
      <c r="E221" s="6">
        <f>IFERROR(INDEX('Annotator A'!$V$5:$V$44,MATCH($A221,'Annotator A'!$A$5:$A$44,0))&amp;"","")</f>
        <v/>
      </c>
      <c r="F221" s="6">
        <f>IFERROR(INDEX('Annotator B'!$V$5:$V$44,MATCH($A221,'Annotator B'!$A$5:$A$44,0))&amp;"","")</f>
        <v/>
      </c>
      <c r="G221" s="6">
        <f>IF(AND(E221="",F221=""),"",IF(E221=F221,"agree","DIFFER"))</f>
        <v/>
      </c>
      <c r="H221" s="7" t="n"/>
      <c r="I221" s="6">
        <f>IF(H221&lt;&gt;"",H221,IF(G221="agree",E221,""))</f>
        <v/>
      </c>
    </row>
    <row r="222">
      <c r="A222" s="6" t="inlineStr">
        <is>
          <t>L12</t>
        </is>
      </c>
      <c r="B222" s="6" t="inlineStr">
        <is>
          <t>vague</t>
        </is>
      </c>
      <c r="C222" s="6" t="inlineStr">
        <is>
          <t>Use cases</t>
        </is>
      </c>
      <c r="D222" s="6" t="inlineStr"/>
      <c r="E222" s="6">
        <f>IFERROR(INDEX('Annotator A'!$C$5:$C$44,MATCH($A222,'Annotator A'!$A$5:$A$44,0))&amp;"","")</f>
        <v/>
      </c>
      <c r="F222" s="6">
        <f>IFERROR(INDEX('Annotator B'!$C$5:$C$44,MATCH($A222,'Annotator B'!$A$5:$A$44,0))&amp;"","")</f>
        <v/>
      </c>
      <c r="G222" s="6" t="inlineStr">
        <is>
          <t>read both</t>
        </is>
      </c>
      <c r="H222" s="7" t="n"/>
      <c r="I222" s="6">
        <f>IF(H222&lt;&gt;"",H222,"")</f>
        <v/>
      </c>
    </row>
    <row r="223">
      <c r="A223" s="6" t="inlineStr">
        <is>
          <t>L12</t>
        </is>
      </c>
      <c r="B223" s="6" t="inlineStr">
        <is>
          <t>vague</t>
        </is>
      </c>
      <c r="C223" s="6" t="inlineStr">
        <is>
          <t>Value — Business impact</t>
        </is>
      </c>
      <c r="D223" s="6" t="inlineStr"/>
      <c r="E223" s="6">
        <f>IFERROR(INDEX('Annotator A'!$D$5:$D$44,MATCH($A223,'Annotator A'!$A$5:$A$44,0))&amp;"","")</f>
        <v/>
      </c>
      <c r="F223" s="6">
        <f>IFERROR(INDEX('Annotator B'!$D$5:$D$44,MATCH($A223,'Annotator B'!$A$5:$A$44,0))&amp;"","")</f>
        <v/>
      </c>
      <c r="G223" s="6">
        <f>IF(AND(E223="",F223=""),"",IF(E223=F223,"agree","DIFFER"))</f>
        <v/>
      </c>
      <c r="H223" s="7" t="n"/>
      <c r="I223" s="6">
        <f>IF(H223&lt;&gt;"",H223,IF(G223="agree",E223,""))</f>
        <v/>
      </c>
    </row>
    <row r="224">
      <c r="A224" s="6" t="inlineStr">
        <is>
          <t>L12</t>
        </is>
      </c>
      <c r="B224" s="6" t="inlineStr">
        <is>
          <t>vague</t>
        </is>
      </c>
      <c r="C224" s="6" t="inlineStr">
        <is>
          <t>Value — Productivity</t>
        </is>
      </c>
      <c r="D224" s="6" t="inlineStr"/>
      <c r="E224" s="6">
        <f>IFERROR(INDEX('Annotator A'!$E$5:$E$44,MATCH($A224,'Annotator A'!$A$5:$A$44,0))&amp;"","")</f>
        <v/>
      </c>
      <c r="F224" s="6">
        <f>IFERROR(INDEX('Annotator B'!$E$5:$E$44,MATCH($A224,'Annotator B'!$A$5:$A$44,0))&amp;"","")</f>
        <v/>
      </c>
      <c r="G224" s="6">
        <f>IF(AND(E224="",F224=""),"",IF(E224=F224,"agree","DIFFER"))</f>
        <v/>
      </c>
      <c r="H224" s="7" t="n"/>
      <c r="I224" s="6">
        <f>IF(H224&lt;&gt;"",H224,IF(G224="agree",E224,""))</f>
        <v/>
      </c>
    </row>
    <row r="225">
      <c r="A225" s="6" t="inlineStr">
        <is>
          <t>L12</t>
        </is>
      </c>
      <c r="B225" s="6" t="inlineStr">
        <is>
          <t>vague</t>
        </is>
      </c>
      <c r="C225" s="6" t="inlineStr">
        <is>
          <t>Value — Cost reduction</t>
        </is>
      </c>
      <c r="D225" s="6" t="inlineStr"/>
      <c r="E225" s="6">
        <f>IFERROR(INDEX('Annotator A'!$F$5:$F$44,MATCH($A225,'Annotator A'!$A$5:$A$44,0))&amp;"","")</f>
        <v/>
      </c>
      <c r="F225" s="6">
        <f>IFERROR(INDEX('Annotator B'!$F$5:$F$44,MATCH($A225,'Annotator B'!$A$5:$A$44,0))&amp;"","")</f>
        <v/>
      </c>
      <c r="G225" s="6">
        <f>IF(AND(E225="",F225=""),"",IF(E225=F225,"agree","DIFFER"))</f>
        <v/>
      </c>
      <c r="H225" s="7" t="n"/>
      <c r="I225" s="6">
        <f>IF(H225&lt;&gt;"",H225,IF(G225="agree",E225,""))</f>
        <v/>
      </c>
    </row>
    <row r="226">
      <c r="A226" s="6" t="inlineStr">
        <is>
          <t>L12</t>
        </is>
      </c>
      <c r="B226" s="6" t="inlineStr">
        <is>
          <t>vague</t>
        </is>
      </c>
      <c r="C226" s="6" t="inlineStr">
        <is>
          <t>Value — Revenue</t>
        </is>
      </c>
      <c r="D226" s="6" t="inlineStr"/>
      <c r="E226" s="6">
        <f>IFERROR(INDEX('Annotator A'!$G$5:$G$44,MATCH($A226,'Annotator A'!$A$5:$A$44,0))&amp;"","")</f>
        <v/>
      </c>
      <c r="F226" s="6">
        <f>IFERROR(INDEX('Annotator B'!$G$5:$G$44,MATCH($A226,'Annotator B'!$A$5:$A$44,0))&amp;"","")</f>
        <v/>
      </c>
      <c r="G226" s="6">
        <f>IF(AND(E226="",F226=""),"",IF(E226=F226,"agree","DIFFER"))</f>
        <v/>
      </c>
      <c r="H226" s="7" t="n"/>
      <c r="I226" s="6">
        <f>IF(H226&lt;&gt;"",H226,IF(G226="agree",E226,""))</f>
        <v/>
      </c>
    </row>
    <row r="227">
      <c r="A227" s="6" t="inlineStr">
        <is>
          <t>L12</t>
        </is>
      </c>
      <c r="B227" s="6" t="inlineStr">
        <is>
          <t>vague</t>
        </is>
      </c>
      <c r="C227" s="6" t="inlineStr">
        <is>
          <t>Value — Employee experience</t>
        </is>
      </c>
      <c r="D227" s="6" t="inlineStr"/>
      <c r="E227" s="6">
        <f>IFERROR(INDEX('Annotator A'!$H$5:$H$44,MATCH($A227,'Annotator A'!$A$5:$A$44,0))&amp;"","")</f>
        <v/>
      </c>
      <c r="F227" s="6">
        <f>IFERROR(INDEX('Annotator B'!$H$5:$H$44,MATCH($A227,'Annotator B'!$A$5:$A$44,0))&amp;"","")</f>
        <v/>
      </c>
      <c r="G227" s="6">
        <f>IF(AND(E227="",F227=""),"",IF(E227=F227,"agree","DIFFER"))</f>
        <v/>
      </c>
      <c r="H227" s="7" t="n"/>
      <c r="I227" s="6">
        <f>IF(H227&lt;&gt;"",H227,IF(G227="agree",E227,""))</f>
        <v/>
      </c>
    </row>
    <row r="228">
      <c r="A228" s="6" t="inlineStr">
        <is>
          <t>L12</t>
        </is>
      </c>
      <c r="B228" s="6" t="inlineStr">
        <is>
          <t>vague</t>
        </is>
      </c>
      <c r="C228" s="6" t="inlineStr">
        <is>
          <t>Value — Customer impact</t>
        </is>
      </c>
      <c r="D228" s="6" t="inlineStr"/>
      <c r="E228" s="6">
        <f>IFERROR(INDEX('Annotator A'!$I$5:$I$44,MATCH($A228,'Annotator A'!$A$5:$A$44,0))&amp;"","")</f>
        <v/>
      </c>
      <c r="F228" s="6">
        <f>IFERROR(INDEX('Annotator B'!$I$5:$I$44,MATCH($A228,'Annotator B'!$A$5:$A$44,0))&amp;"","")</f>
        <v/>
      </c>
      <c r="G228" s="6">
        <f>IF(AND(E228="",F228=""),"",IF(E228=F228,"agree","DIFFER"))</f>
        <v/>
      </c>
      <c r="H228" s="7" t="n"/>
      <c r="I228" s="6">
        <f>IF(H228&lt;&gt;"",H228,IF(G228="agree",E228,""))</f>
        <v/>
      </c>
    </row>
    <row r="229">
      <c r="A229" s="6" t="inlineStr">
        <is>
          <t>L12</t>
        </is>
      </c>
      <c r="B229" s="6" t="inlineStr">
        <is>
          <t>vague</t>
        </is>
      </c>
      <c r="C229" s="6" t="inlineStr">
        <is>
          <t>Value — Operational</t>
        </is>
      </c>
      <c r="D229" s="6" t="inlineStr"/>
      <c r="E229" s="6">
        <f>IFERROR(INDEX('Annotator A'!$J$5:$J$44,MATCH($A229,'Annotator A'!$A$5:$A$44,0))&amp;"","")</f>
        <v/>
      </c>
      <c r="F229" s="6">
        <f>IFERROR(INDEX('Annotator B'!$J$5:$J$44,MATCH($A229,'Annotator B'!$A$5:$A$44,0))&amp;"","")</f>
        <v/>
      </c>
      <c r="G229" s="6">
        <f>IF(AND(E229="",F229=""),"",IF(E229=F229,"agree","DIFFER"))</f>
        <v/>
      </c>
      <c r="H229" s="7" t="n"/>
      <c r="I229" s="6">
        <f>IF(H229&lt;&gt;"",H229,IF(G229="agree",E229,""))</f>
        <v/>
      </c>
    </row>
    <row r="230">
      <c r="A230" s="6" t="inlineStr">
        <is>
          <t>L12</t>
        </is>
      </c>
      <c r="B230" s="6" t="inlineStr">
        <is>
          <t>vague</t>
        </is>
      </c>
      <c r="C230" s="6" t="inlineStr">
        <is>
          <t>Value — Problem severity</t>
        </is>
      </c>
      <c r="D230" s="6" t="inlineStr"/>
      <c r="E230" s="6">
        <f>IFERROR(INDEX('Annotator A'!$K$5:$K$44,MATCH($A230,'Annotator A'!$A$5:$A$44,0))&amp;"","")</f>
        <v/>
      </c>
      <c r="F230" s="6">
        <f>IFERROR(INDEX('Annotator B'!$K$5:$K$44,MATCH($A230,'Annotator B'!$A$5:$A$44,0))&amp;"","")</f>
        <v/>
      </c>
      <c r="G230" s="6">
        <f>IF(AND(E230="",F230=""),"",IF(E230=F230,"agree","DIFFER"))</f>
        <v/>
      </c>
      <c r="H230" s="7" t="n"/>
      <c r="I230" s="6">
        <f>IF(H230&lt;&gt;"",H230,IF(G230="agree",E230,""))</f>
        <v/>
      </c>
    </row>
    <row r="231">
      <c r="A231" s="6" t="inlineStr">
        <is>
          <t>L12</t>
        </is>
      </c>
      <c r="B231" s="6" t="inlineStr">
        <is>
          <t>vague</t>
        </is>
      </c>
      <c r="C231" s="6" t="inlineStr">
        <is>
          <t>Value — Problem frequency</t>
        </is>
      </c>
      <c r="D231" s="6" t="inlineStr"/>
      <c r="E231" s="6">
        <f>IFERROR(INDEX('Annotator A'!$L$5:$L$44,MATCH($A231,'Annotator A'!$A$5:$A$44,0))&amp;"","")</f>
        <v/>
      </c>
      <c r="F231" s="6">
        <f>IFERROR(INDEX('Annotator B'!$L$5:$L$44,MATCH($A231,'Annotator B'!$A$5:$A$44,0))&amp;"","")</f>
        <v/>
      </c>
      <c r="G231" s="6">
        <f>IF(AND(E231="",F231=""),"",IF(E231=F231,"agree","DIFFER"))</f>
        <v/>
      </c>
      <c r="H231" s="7" t="n"/>
      <c r="I231" s="6">
        <f>IF(H231&lt;&gt;"",H231,IF(G231="agree",E231,""))</f>
        <v/>
      </c>
    </row>
    <row r="232">
      <c r="A232" s="6" t="inlineStr">
        <is>
          <t>L12</t>
        </is>
      </c>
      <c r="B232" s="6" t="inlineStr">
        <is>
          <t>vague</t>
        </is>
      </c>
      <c r="C232" s="6" t="inlineStr">
        <is>
          <t>Feasibility status</t>
        </is>
      </c>
      <c r="D232" s="6" t="inlineStr"/>
      <c r="E232" s="6">
        <f>IFERROR(INDEX('Annotator A'!$M$5:$M$44,MATCH($A232,'Annotator A'!$A$5:$A$44,0))&amp;"","")</f>
        <v/>
      </c>
      <c r="F232" s="6">
        <f>IFERROR(INDEX('Annotator B'!$M$5:$M$44,MATCH($A232,'Annotator B'!$A$5:$A$44,0))&amp;"","")</f>
        <v/>
      </c>
      <c r="G232" s="6">
        <f>IF(AND(E232="",F232=""),"",IF(E232=F232,"agree","DIFFER"))</f>
        <v/>
      </c>
      <c r="H232" s="7" t="n"/>
      <c r="I232" s="6">
        <f>IF(H232&lt;&gt;"",H232,IF(G232="agree",E232,""))</f>
        <v/>
      </c>
    </row>
    <row r="233">
      <c r="A233" s="6" t="inlineStr">
        <is>
          <t>L12</t>
        </is>
      </c>
      <c r="B233" s="6" t="inlineStr">
        <is>
          <t>vague</t>
        </is>
      </c>
      <c r="C233" s="6" t="inlineStr">
        <is>
          <t>Risk — Technical</t>
        </is>
      </c>
      <c r="D233" s="6" t="inlineStr"/>
      <c r="E233" s="6">
        <f>IFERROR(INDEX('Annotator A'!$N$5:$N$44,MATCH($A233,'Annotator A'!$A$5:$A$44,0))&amp;"","")</f>
        <v/>
      </c>
      <c r="F233" s="6">
        <f>IFERROR(INDEX('Annotator B'!$N$5:$N$44,MATCH($A233,'Annotator B'!$A$5:$A$44,0))&amp;"","")</f>
        <v/>
      </c>
      <c r="G233" s="6">
        <f>IF(AND(E233="",F233=""),"",IF(E233=F233,"agree","DIFFER"))</f>
        <v/>
      </c>
      <c r="H233" s="7" t="n"/>
      <c r="I233" s="6">
        <f>IF(H233&lt;&gt;"",H233,IF(G233="agree",E233,""))</f>
        <v/>
      </c>
    </row>
    <row r="234">
      <c r="A234" s="6" t="inlineStr">
        <is>
          <t>L12</t>
        </is>
      </c>
      <c r="B234" s="6" t="inlineStr">
        <is>
          <t>vague</t>
        </is>
      </c>
      <c r="C234" s="6" t="inlineStr">
        <is>
          <t>Risk — Security</t>
        </is>
      </c>
      <c r="D234" s="6" t="inlineStr"/>
      <c r="E234" s="6">
        <f>IFERROR(INDEX('Annotator A'!$O$5:$O$44,MATCH($A234,'Annotator A'!$A$5:$A$44,0))&amp;"","")</f>
        <v/>
      </c>
      <c r="F234" s="6">
        <f>IFERROR(INDEX('Annotator B'!$O$5:$O$44,MATCH($A234,'Annotator B'!$A$5:$A$44,0))&amp;"","")</f>
        <v/>
      </c>
      <c r="G234" s="6">
        <f>IF(AND(E234="",F234=""),"",IF(E234=F234,"agree","DIFFER"))</f>
        <v/>
      </c>
      <c r="H234" s="7" t="n"/>
      <c r="I234" s="6">
        <f>IF(H234&lt;&gt;"",H234,IF(G234="agree",E234,""))</f>
        <v/>
      </c>
    </row>
    <row r="235">
      <c r="A235" s="6" t="inlineStr">
        <is>
          <t>L12</t>
        </is>
      </c>
      <c r="B235" s="6" t="inlineStr">
        <is>
          <t>vague</t>
        </is>
      </c>
      <c r="C235" s="6" t="inlineStr">
        <is>
          <t>Risk — Privacy</t>
        </is>
      </c>
      <c r="D235" s="6" t="inlineStr"/>
      <c r="E235" s="6">
        <f>IFERROR(INDEX('Annotator A'!$P$5:$P$44,MATCH($A235,'Annotator A'!$A$5:$A$44,0))&amp;"","")</f>
        <v/>
      </c>
      <c r="F235" s="6">
        <f>IFERROR(INDEX('Annotator B'!$P$5:$P$44,MATCH($A235,'Annotator B'!$A$5:$A$44,0))&amp;"","")</f>
        <v/>
      </c>
      <c r="G235" s="6">
        <f>IF(AND(E235="",F235=""),"",IF(E235=F235,"agree","DIFFER"))</f>
        <v/>
      </c>
      <c r="H235" s="7" t="n"/>
      <c r="I235" s="6">
        <f>IF(H235&lt;&gt;"",H235,IF(G235="agree",E235,""))</f>
        <v/>
      </c>
    </row>
    <row r="236">
      <c r="A236" s="6" t="inlineStr">
        <is>
          <t>L12</t>
        </is>
      </c>
      <c r="B236" s="6" t="inlineStr">
        <is>
          <t>vague</t>
        </is>
      </c>
      <c r="C236" s="6" t="inlineStr">
        <is>
          <t>Risk — Compliance</t>
        </is>
      </c>
      <c r="D236" s="6" t="inlineStr"/>
      <c r="E236" s="6">
        <f>IFERROR(INDEX('Annotator A'!$Q$5:$Q$44,MATCH($A236,'Annotator A'!$A$5:$A$44,0))&amp;"","")</f>
        <v/>
      </c>
      <c r="F236" s="6">
        <f>IFERROR(INDEX('Annotator B'!$Q$5:$Q$44,MATCH($A236,'Annotator B'!$A$5:$A$44,0))&amp;"","")</f>
        <v/>
      </c>
      <c r="G236" s="6">
        <f>IF(AND(E236="",F236=""),"",IF(E236=F236,"agree","DIFFER"))</f>
        <v/>
      </c>
      <c r="H236" s="7" t="n"/>
      <c r="I236" s="6">
        <f>IF(H236&lt;&gt;"",H236,IF(G236="agree",E236,""))</f>
        <v/>
      </c>
    </row>
    <row r="237">
      <c r="A237" s="6" t="inlineStr">
        <is>
          <t>L12</t>
        </is>
      </c>
      <c r="B237" s="6" t="inlineStr">
        <is>
          <t>vague</t>
        </is>
      </c>
      <c r="C237" s="6" t="inlineStr">
        <is>
          <t>Risk — Financial</t>
        </is>
      </c>
      <c r="D237" s="6" t="inlineStr"/>
      <c r="E237" s="6">
        <f>IFERROR(INDEX('Annotator A'!$R$5:$R$44,MATCH($A237,'Annotator A'!$A$5:$A$44,0))&amp;"","")</f>
        <v/>
      </c>
      <c r="F237" s="6">
        <f>IFERROR(INDEX('Annotator B'!$R$5:$R$44,MATCH($A237,'Annotator B'!$A$5:$A$44,0))&amp;"","")</f>
        <v/>
      </c>
      <c r="G237" s="6">
        <f>IF(AND(E237="",F237=""),"",IF(E237=F237,"agree","DIFFER"))</f>
        <v/>
      </c>
      <c r="H237" s="7" t="n"/>
      <c r="I237" s="6">
        <f>IF(H237&lt;&gt;"",H237,IF(G237="agree",E237,""))</f>
        <v/>
      </c>
    </row>
    <row r="238">
      <c r="A238" s="6" t="inlineStr">
        <is>
          <t>L12</t>
        </is>
      </c>
      <c r="B238" s="6" t="inlineStr">
        <is>
          <t>vague</t>
        </is>
      </c>
      <c r="C238" s="6" t="inlineStr">
        <is>
          <t>Risk — Operational</t>
        </is>
      </c>
      <c r="D238" s="6" t="inlineStr"/>
      <c r="E238" s="6">
        <f>IFERROR(INDEX('Annotator A'!$S$5:$S$44,MATCH($A238,'Annotator A'!$A$5:$A$44,0))&amp;"","")</f>
        <v/>
      </c>
      <c r="F238" s="6">
        <f>IFERROR(INDEX('Annotator B'!$S$5:$S$44,MATCH($A238,'Annotator B'!$A$5:$A$44,0))&amp;"","")</f>
        <v/>
      </c>
      <c r="G238" s="6">
        <f>IF(AND(E238="",F238=""),"",IF(E238=F238,"agree","DIFFER"))</f>
        <v/>
      </c>
      <c r="H238" s="7" t="n"/>
      <c r="I238" s="6">
        <f>IF(H238&lt;&gt;"",H238,IF(G238="agree",E238,""))</f>
        <v/>
      </c>
    </row>
    <row r="239">
      <c r="A239" s="6" t="inlineStr">
        <is>
          <t>L12</t>
        </is>
      </c>
      <c r="B239" s="6" t="inlineStr">
        <is>
          <t>vague</t>
        </is>
      </c>
      <c r="C239" s="6" t="inlineStr">
        <is>
          <t>Risk — Adoption</t>
        </is>
      </c>
      <c r="D239" s="6" t="inlineStr"/>
      <c r="E239" s="6">
        <f>IFERROR(INDEX('Annotator A'!$T$5:$T$44,MATCH($A239,'Annotator A'!$A$5:$A$44,0))&amp;"","")</f>
        <v/>
      </c>
      <c r="F239" s="6">
        <f>IFERROR(INDEX('Annotator B'!$T$5:$T$44,MATCH($A239,'Annotator B'!$A$5:$A$44,0))&amp;"","")</f>
        <v/>
      </c>
      <c r="G239" s="6">
        <f>IF(AND(E239="",F239=""),"",IF(E239=F239,"agree","DIFFER"))</f>
        <v/>
      </c>
      <c r="H239" s="7" t="n"/>
      <c r="I239" s="6">
        <f>IF(H239&lt;&gt;"",H239,IF(G239="agree",E239,""))</f>
        <v/>
      </c>
    </row>
    <row r="240">
      <c r="A240" s="6" t="inlineStr">
        <is>
          <t>L12</t>
        </is>
      </c>
      <c r="B240" s="6" t="inlineStr">
        <is>
          <t>vague</t>
        </is>
      </c>
      <c r="C240" s="6" t="inlineStr">
        <is>
          <t>Risk — Data</t>
        </is>
      </c>
      <c r="D240" s="6" t="inlineStr"/>
      <c r="E240" s="6">
        <f>IFERROR(INDEX('Annotator A'!$U$5:$U$44,MATCH($A240,'Annotator A'!$A$5:$A$44,0))&amp;"","")</f>
        <v/>
      </c>
      <c r="F240" s="6">
        <f>IFERROR(INDEX('Annotator B'!$U$5:$U$44,MATCH($A240,'Annotator B'!$A$5:$A$44,0))&amp;"","")</f>
        <v/>
      </c>
      <c r="G240" s="6">
        <f>IF(AND(E240="",F240=""),"",IF(E240=F240,"agree","DIFFER"))</f>
        <v/>
      </c>
      <c r="H240" s="7" t="n"/>
      <c r="I240" s="6">
        <f>IF(H240&lt;&gt;"",H240,IF(G240="agree",E240,""))</f>
        <v/>
      </c>
    </row>
    <row r="241">
      <c r="A241" s="6" t="inlineStr">
        <is>
          <t>L12</t>
        </is>
      </c>
      <c r="B241" s="6" t="inlineStr">
        <is>
          <t>vague</t>
        </is>
      </c>
      <c r="C241" s="6" t="inlineStr">
        <is>
          <t>Risk — Vendor</t>
        </is>
      </c>
      <c r="D241" s="6" t="inlineStr"/>
      <c r="E241" s="6">
        <f>IFERROR(INDEX('Annotator A'!$V$5:$V$44,MATCH($A241,'Annotator A'!$A$5:$A$44,0))&amp;"","")</f>
        <v/>
      </c>
      <c r="F241" s="6">
        <f>IFERROR(INDEX('Annotator B'!$V$5:$V$44,MATCH($A241,'Annotator B'!$A$5:$A$44,0))&amp;"","")</f>
        <v/>
      </c>
      <c r="G241" s="6">
        <f>IF(AND(E241="",F241=""),"",IF(E241=F241,"agree","DIFFER"))</f>
        <v/>
      </c>
      <c r="H241" s="7" t="n"/>
      <c r="I241" s="6">
        <f>IF(H241&lt;&gt;"",H241,IF(G241="agree",E241,""))</f>
        <v/>
      </c>
    </row>
    <row r="242">
      <c r="A242" s="6" t="inlineStr">
        <is>
          <t>L13</t>
        </is>
      </c>
      <c r="B242" s="6" t="inlineStr">
        <is>
          <t>strong</t>
        </is>
      </c>
      <c r="C242" s="6" t="inlineStr">
        <is>
          <t>Use cases</t>
        </is>
      </c>
      <c r="D242" s="6" t="inlineStr">
        <is>
          <t>classify ticket by topic
route to the team that owns that topic</t>
        </is>
      </c>
      <c r="E242" s="6">
        <f>IFERROR(INDEX('Annotator A'!$C$5:$C$44,MATCH($A242,'Annotator A'!$A$5:$A$44,0))&amp;"","")</f>
        <v/>
      </c>
      <c r="F242" s="6">
        <f>IFERROR(INDEX('Annotator B'!$C$5:$C$44,MATCH($A242,'Annotator B'!$A$5:$A$44,0))&amp;"","")</f>
        <v/>
      </c>
      <c r="G242" s="6" t="inlineStr">
        <is>
          <t>read both</t>
        </is>
      </c>
      <c r="H242" s="7" t="n"/>
      <c r="I242" s="6">
        <f>IF(H242&lt;&gt;"",H242,"")</f>
        <v/>
      </c>
    </row>
    <row r="243">
      <c r="A243" s="6" t="inlineStr">
        <is>
          <t>L13</t>
        </is>
      </c>
      <c r="B243" s="6" t="inlineStr">
        <is>
          <t>strong</t>
        </is>
      </c>
      <c r="C243" s="6" t="inlineStr">
        <is>
          <t>Value — Business impact</t>
        </is>
      </c>
      <c r="D243" s="6" t="inlineStr"/>
      <c r="E243" s="6">
        <f>IFERROR(INDEX('Annotator A'!$D$5:$D$44,MATCH($A243,'Annotator A'!$A$5:$A$44,0))&amp;"","")</f>
        <v/>
      </c>
      <c r="F243" s="6">
        <f>IFERROR(INDEX('Annotator B'!$D$5:$D$44,MATCH($A243,'Annotator B'!$A$5:$A$44,0))&amp;"","")</f>
        <v/>
      </c>
      <c r="G243" s="6">
        <f>IF(AND(E243="",F243=""),"",IF(E243=F243,"agree","DIFFER"))</f>
        <v/>
      </c>
      <c r="H243" s="7" t="n"/>
      <c r="I243" s="6">
        <f>IF(H243&lt;&gt;"",H243,IF(G243="agree",E243,""))</f>
        <v/>
      </c>
    </row>
    <row r="244">
      <c r="A244" s="6" t="inlineStr">
        <is>
          <t>L13</t>
        </is>
      </c>
      <c r="B244" s="6" t="inlineStr">
        <is>
          <t>strong</t>
        </is>
      </c>
      <c r="C244" s="6" t="inlineStr">
        <is>
          <t>Value — Productivity</t>
        </is>
      </c>
      <c r="D244" s="6" t="inlineStr"/>
      <c r="E244" s="6">
        <f>IFERROR(INDEX('Annotator A'!$E$5:$E$44,MATCH($A244,'Annotator A'!$A$5:$A$44,0))&amp;"","")</f>
        <v/>
      </c>
      <c r="F244" s="6">
        <f>IFERROR(INDEX('Annotator B'!$E$5:$E$44,MATCH($A244,'Annotator B'!$A$5:$A$44,0))&amp;"","")</f>
        <v/>
      </c>
      <c r="G244" s="6">
        <f>IF(AND(E244="",F244=""),"",IF(E244=F244,"agree","DIFFER"))</f>
        <v/>
      </c>
      <c r="H244" s="7" t="n"/>
      <c r="I244" s="6">
        <f>IF(H244&lt;&gt;"",H244,IF(G244="agree",E244,""))</f>
        <v/>
      </c>
    </row>
    <row r="245">
      <c r="A245" s="6" t="inlineStr">
        <is>
          <t>L13</t>
        </is>
      </c>
      <c r="B245" s="6" t="inlineStr">
        <is>
          <t>strong</t>
        </is>
      </c>
      <c r="C245" s="6" t="inlineStr">
        <is>
          <t>Value — Cost reduction</t>
        </is>
      </c>
      <c r="D245" s="6" t="inlineStr"/>
      <c r="E245" s="6">
        <f>IFERROR(INDEX('Annotator A'!$F$5:$F$44,MATCH($A245,'Annotator A'!$A$5:$A$44,0))&amp;"","")</f>
        <v/>
      </c>
      <c r="F245" s="6">
        <f>IFERROR(INDEX('Annotator B'!$F$5:$F$44,MATCH($A245,'Annotator B'!$A$5:$A$44,0))&amp;"","")</f>
        <v/>
      </c>
      <c r="G245" s="6">
        <f>IF(AND(E245="",F245=""),"",IF(E245=F245,"agree","DIFFER"))</f>
        <v/>
      </c>
      <c r="H245" s="7" t="n"/>
      <c r="I245" s="6">
        <f>IF(H245&lt;&gt;"",H245,IF(G245="agree",E245,""))</f>
        <v/>
      </c>
    </row>
    <row r="246">
      <c r="A246" s="6" t="inlineStr">
        <is>
          <t>L13</t>
        </is>
      </c>
      <c r="B246" s="6" t="inlineStr">
        <is>
          <t>strong</t>
        </is>
      </c>
      <c r="C246" s="6" t="inlineStr">
        <is>
          <t>Value — Revenue</t>
        </is>
      </c>
      <c r="D246" s="6" t="inlineStr"/>
      <c r="E246" s="6">
        <f>IFERROR(INDEX('Annotator A'!$G$5:$G$44,MATCH($A246,'Annotator A'!$A$5:$A$44,0))&amp;"","")</f>
        <v/>
      </c>
      <c r="F246" s="6">
        <f>IFERROR(INDEX('Annotator B'!$G$5:$G$44,MATCH($A246,'Annotator B'!$A$5:$A$44,0))&amp;"","")</f>
        <v/>
      </c>
      <c r="G246" s="6">
        <f>IF(AND(E246="",F246=""),"",IF(E246=F246,"agree","DIFFER"))</f>
        <v/>
      </c>
      <c r="H246" s="7" t="n"/>
      <c r="I246" s="6">
        <f>IF(H246&lt;&gt;"",H246,IF(G246="agree",E246,""))</f>
        <v/>
      </c>
    </row>
    <row r="247">
      <c r="A247" s="6" t="inlineStr">
        <is>
          <t>L13</t>
        </is>
      </c>
      <c r="B247" s="6" t="inlineStr">
        <is>
          <t>strong</t>
        </is>
      </c>
      <c r="C247" s="6" t="inlineStr">
        <is>
          <t>Value — Employee experience</t>
        </is>
      </c>
      <c r="D247" s="6" t="inlineStr"/>
      <c r="E247" s="6">
        <f>IFERROR(INDEX('Annotator A'!$H$5:$H$44,MATCH($A247,'Annotator A'!$A$5:$A$44,0))&amp;"","")</f>
        <v/>
      </c>
      <c r="F247" s="6">
        <f>IFERROR(INDEX('Annotator B'!$H$5:$H$44,MATCH($A247,'Annotator B'!$A$5:$A$44,0))&amp;"","")</f>
        <v/>
      </c>
      <c r="G247" s="6">
        <f>IF(AND(E247="",F247=""),"",IF(E247=F247,"agree","DIFFER"))</f>
        <v/>
      </c>
      <c r="H247" s="7" t="n"/>
      <c r="I247" s="6">
        <f>IF(H247&lt;&gt;"",H247,IF(G247="agree",E247,""))</f>
        <v/>
      </c>
    </row>
    <row r="248">
      <c r="A248" s="6" t="inlineStr">
        <is>
          <t>L13</t>
        </is>
      </c>
      <c r="B248" s="6" t="inlineStr">
        <is>
          <t>strong</t>
        </is>
      </c>
      <c r="C248" s="6" t="inlineStr">
        <is>
          <t>Value — Customer impact</t>
        </is>
      </c>
      <c r="D248" s="6" t="inlineStr">
        <is>
          <t>High</t>
        </is>
      </c>
      <c r="E248" s="6">
        <f>IFERROR(INDEX('Annotator A'!$I$5:$I$44,MATCH($A248,'Annotator A'!$A$5:$A$44,0))&amp;"","")</f>
        <v/>
      </c>
      <c r="F248" s="6">
        <f>IFERROR(INDEX('Annotator B'!$I$5:$I$44,MATCH($A248,'Annotator B'!$A$5:$A$44,0))&amp;"","")</f>
        <v/>
      </c>
      <c r="G248" s="6">
        <f>IF(AND(E248="",F248=""),"",IF(E248=F248,"agree","DIFFER"))</f>
        <v/>
      </c>
      <c r="H248" s="7" t="n"/>
      <c r="I248" s="6">
        <f>IF(H248&lt;&gt;"",H248,IF(G248="agree",E248,""))</f>
        <v/>
      </c>
    </row>
    <row r="249">
      <c r="A249" s="6" t="inlineStr">
        <is>
          <t>L13</t>
        </is>
      </c>
      <c r="B249" s="6" t="inlineStr">
        <is>
          <t>strong</t>
        </is>
      </c>
      <c r="C249" s="6" t="inlineStr">
        <is>
          <t>Value — Operational</t>
        </is>
      </c>
      <c r="D249" s="6" t="inlineStr"/>
      <c r="E249" s="6">
        <f>IFERROR(INDEX('Annotator A'!$J$5:$J$44,MATCH($A249,'Annotator A'!$A$5:$A$44,0))&amp;"","")</f>
        <v/>
      </c>
      <c r="F249" s="6">
        <f>IFERROR(INDEX('Annotator B'!$J$5:$J$44,MATCH($A249,'Annotator B'!$A$5:$A$44,0))&amp;"","")</f>
        <v/>
      </c>
      <c r="G249" s="6">
        <f>IF(AND(E249="",F249=""),"",IF(E249=F249,"agree","DIFFER"))</f>
        <v/>
      </c>
      <c r="H249" s="7" t="n"/>
      <c r="I249" s="6">
        <f>IF(H249&lt;&gt;"",H249,IF(G249="agree",E249,""))</f>
        <v/>
      </c>
    </row>
    <row r="250">
      <c r="A250" s="6" t="inlineStr">
        <is>
          <t>L13</t>
        </is>
      </c>
      <c r="B250" s="6" t="inlineStr">
        <is>
          <t>strong</t>
        </is>
      </c>
      <c r="C250" s="6" t="inlineStr">
        <is>
          <t>Value — Problem severity</t>
        </is>
      </c>
      <c r="D250" s="6" t="inlineStr"/>
      <c r="E250" s="6">
        <f>IFERROR(INDEX('Annotator A'!$K$5:$K$44,MATCH($A250,'Annotator A'!$A$5:$A$44,0))&amp;"","")</f>
        <v/>
      </c>
      <c r="F250" s="6">
        <f>IFERROR(INDEX('Annotator B'!$K$5:$K$44,MATCH($A250,'Annotator B'!$A$5:$A$44,0))&amp;"","")</f>
        <v/>
      </c>
      <c r="G250" s="6">
        <f>IF(AND(E250="",F250=""),"",IF(E250=F250,"agree","DIFFER"))</f>
        <v/>
      </c>
      <c r="H250" s="7" t="n"/>
      <c r="I250" s="6">
        <f>IF(H250&lt;&gt;"",H250,IF(G250="agree",E250,""))</f>
        <v/>
      </c>
    </row>
    <row r="251">
      <c r="A251" s="6" t="inlineStr">
        <is>
          <t>L13</t>
        </is>
      </c>
      <c r="B251" s="6" t="inlineStr">
        <is>
          <t>strong</t>
        </is>
      </c>
      <c r="C251" s="6" t="inlineStr">
        <is>
          <t>Value — Problem frequency</t>
        </is>
      </c>
      <c r="D251" s="6" t="inlineStr">
        <is>
          <t>High</t>
        </is>
      </c>
      <c r="E251" s="6">
        <f>IFERROR(INDEX('Annotator A'!$L$5:$L$44,MATCH($A251,'Annotator A'!$A$5:$A$44,0))&amp;"","")</f>
        <v/>
      </c>
      <c r="F251" s="6">
        <f>IFERROR(INDEX('Annotator B'!$L$5:$L$44,MATCH($A251,'Annotator B'!$A$5:$A$44,0))&amp;"","")</f>
        <v/>
      </c>
      <c r="G251" s="6">
        <f>IF(AND(E251="",F251=""),"",IF(E251=F251,"agree","DIFFER"))</f>
        <v/>
      </c>
      <c r="H251" s="7" t="n"/>
      <c r="I251" s="6">
        <f>IF(H251&lt;&gt;"",H251,IF(G251="agree",E251,""))</f>
        <v/>
      </c>
    </row>
    <row r="252">
      <c r="A252" s="6" t="inlineStr">
        <is>
          <t>L13</t>
        </is>
      </c>
      <c r="B252" s="6" t="inlineStr">
        <is>
          <t>strong</t>
        </is>
      </c>
      <c r="C252" s="6" t="inlineStr">
        <is>
          <t>Feasibility status</t>
        </is>
      </c>
      <c r="D252" s="6" t="inlineStr">
        <is>
          <t>FEASIBLE_WITH_CONDITIONS</t>
        </is>
      </c>
      <c r="E252" s="6">
        <f>IFERROR(INDEX('Annotator A'!$M$5:$M$44,MATCH($A252,'Annotator A'!$A$5:$A$44,0))&amp;"","")</f>
        <v/>
      </c>
      <c r="F252" s="6">
        <f>IFERROR(INDEX('Annotator B'!$M$5:$M$44,MATCH($A252,'Annotator B'!$A$5:$A$44,0))&amp;"","")</f>
        <v/>
      </c>
      <c r="G252" s="6">
        <f>IF(AND(E252="",F252=""),"",IF(E252=F252,"agree","DIFFER"))</f>
        <v/>
      </c>
      <c r="H252" s="7" t="n"/>
      <c r="I252" s="6">
        <f>IF(H252&lt;&gt;"",H252,IF(G252="agree",E252,""))</f>
        <v/>
      </c>
    </row>
    <row r="253">
      <c r="A253" s="6" t="inlineStr">
        <is>
          <t>L13</t>
        </is>
      </c>
      <c r="B253" s="6" t="inlineStr">
        <is>
          <t>strong</t>
        </is>
      </c>
      <c r="C253" s="6" t="inlineStr">
        <is>
          <t>Risk — Technical</t>
        </is>
      </c>
      <c r="D253" s="6" t="inlineStr"/>
      <c r="E253" s="6">
        <f>IFERROR(INDEX('Annotator A'!$N$5:$N$44,MATCH($A253,'Annotator A'!$A$5:$A$44,0))&amp;"","")</f>
        <v/>
      </c>
      <c r="F253" s="6">
        <f>IFERROR(INDEX('Annotator B'!$N$5:$N$44,MATCH($A253,'Annotator B'!$A$5:$A$44,0))&amp;"","")</f>
        <v/>
      </c>
      <c r="G253" s="6">
        <f>IF(AND(E253="",F253=""),"",IF(E253=F253,"agree","DIFFER"))</f>
        <v/>
      </c>
      <c r="H253" s="7" t="n"/>
      <c r="I253" s="6">
        <f>IF(H253&lt;&gt;"",H253,IF(G253="agree",E253,""))</f>
        <v/>
      </c>
    </row>
    <row r="254">
      <c r="A254" s="6" t="inlineStr">
        <is>
          <t>L13</t>
        </is>
      </c>
      <c r="B254" s="6" t="inlineStr">
        <is>
          <t>strong</t>
        </is>
      </c>
      <c r="C254" s="6" t="inlineStr">
        <is>
          <t>Risk — Security</t>
        </is>
      </c>
      <c r="D254" s="6" t="inlineStr"/>
      <c r="E254" s="6">
        <f>IFERROR(INDEX('Annotator A'!$O$5:$O$44,MATCH($A254,'Annotator A'!$A$5:$A$44,0))&amp;"","")</f>
        <v/>
      </c>
      <c r="F254" s="6">
        <f>IFERROR(INDEX('Annotator B'!$O$5:$O$44,MATCH($A254,'Annotator B'!$A$5:$A$44,0))&amp;"","")</f>
        <v/>
      </c>
      <c r="G254" s="6">
        <f>IF(AND(E254="",F254=""),"",IF(E254=F254,"agree","DIFFER"))</f>
        <v/>
      </c>
      <c r="H254" s="7" t="n"/>
      <c r="I254" s="6">
        <f>IF(H254&lt;&gt;"",H254,IF(G254="agree",E254,""))</f>
        <v/>
      </c>
    </row>
    <row r="255">
      <c r="A255" s="6" t="inlineStr">
        <is>
          <t>L13</t>
        </is>
      </c>
      <c r="B255" s="6" t="inlineStr">
        <is>
          <t>strong</t>
        </is>
      </c>
      <c r="C255" s="6" t="inlineStr">
        <is>
          <t>Risk — Privacy</t>
        </is>
      </c>
      <c r="D255" s="6" t="inlineStr"/>
      <c r="E255" s="6">
        <f>IFERROR(INDEX('Annotator A'!$P$5:$P$44,MATCH($A255,'Annotator A'!$A$5:$A$44,0))&amp;"","")</f>
        <v/>
      </c>
      <c r="F255" s="6">
        <f>IFERROR(INDEX('Annotator B'!$P$5:$P$44,MATCH($A255,'Annotator B'!$A$5:$A$44,0))&amp;"","")</f>
        <v/>
      </c>
      <c r="G255" s="6">
        <f>IF(AND(E255="",F255=""),"",IF(E255=F255,"agree","DIFFER"))</f>
        <v/>
      </c>
      <c r="H255" s="7" t="n"/>
      <c r="I255" s="6">
        <f>IF(H255&lt;&gt;"",H255,IF(G255="agree",E255,""))</f>
        <v/>
      </c>
    </row>
    <row r="256">
      <c r="A256" s="6" t="inlineStr">
        <is>
          <t>L13</t>
        </is>
      </c>
      <c r="B256" s="6" t="inlineStr">
        <is>
          <t>strong</t>
        </is>
      </c>
      <c r="C256" s="6" t="inlineStr">
        <is>
          <t>Risk — Compliance</t>
        </is>
      </c>
      <c r="D256" s="6" t="inlineStr"/>
      <c r="E256" s="6">
        <f>IFERROR(INDEX('Annotator A'!$Q$5:$Q$44,MATCH($A256,'Annotator A'!$A$5:$A$44,0))&amp;"","")</f>
        <v/>
      </c>
      <c r="F256" s="6">
        <f>IFERROR(INDEX('Annotator B'!$Q$5:$Q$44,MATCH($A256,'Annotator B'!$A$5:$A$44,0))&amp;"","")</f>
        <v/>
      </c>
      <c r="G256" s="6">
        <f>IF(AND(E256="",F256=""),"",IF(E256=F256,"agree","DIFFER"))</f>
        <v/>
      </c>
      <c r="H256" s="7" t="n"/>
      <c r="I256" s="6">
        <f>IF(H256&lt;&gt;"",H256,IF(G256="agree",E256,""))</f>
        <v/>
      </c>
    </row>
    <row r="257">
      <c r="A257" s="6" t="inlineStr">
        <is>
          <t>L13</t>
        </is>
      </c>
      <c r="B257" s="6" t="inlineStr">
        <is>
          <t>strong</t>
        </is>
      </c>
      <c r="C257" s="6" t="inlineStr">
        <is>
          <t>Risk — Financial</t>
        </is>
      </c>
      <c r="D257" s="6" t="inlineStr"/>
      <c r="E257" s="6">
        <f>IFERROR(INDEX('Annotator A'!$R$5:$R$44,MATCH($A257,'Annotator A'!$A$5:$A$44,0))&amp;"","")</f>
        <v/>
      </c>
      <c r="F257" s="6">
        <f>IFERROR(INDEX('Annotator B'!$R$5:$R$44,MATCH($A257,'Annotator B'!$A$5:$A$44,0))&amp;"","")</f>
        <v/>
      </c>
      <c r="G257" s="6">
        <f>IF(AND(E257="",F257=""),"",IF(E257=F257,"agree","DIFFER"))</f>
        <v/>
      </c>
      <c r="H257" s="7" t="n"/>
      <c r="I257" s="6">
        <f>IF(H257&lt;&gt;"",H257,IF(G257="agree",E257,""))</f>
        <v/>
      </c>
    </row>
    <row r="258">
      <c r="A258" s="6" t="inlineStr">
        <is>
          <t>L13</t>
        </is>
      </c>
      <c r="B258" s="6" t="inlineStr">
        <is>
          <t>strong</t>
        </is>
      </c>
      <c r="C258" s="6" t="inlineStr">
        <is>
          <t>Risk — Operational</t>
        </is>
      </c>
      <c r="D258" s="6" t="inlineStr">
        <is>
          <t>Yes</t>
        </is>
      </c>
      <c r="E258" s="6">
        <f>IFERROR(INDEX('Annotator A'!$S$5:$S$44,MATCH($A258,'Annotator A'!$A$5:$A$44,0))&amp;"","")</f>
        <v/>
      </c>
      <c r="F258" s="6">
        <f>IFERROR(INDEX('Annotator B'!$S$5:$S$44,MATCH($A258,'Annotator B'!$A$5:$A$44,0))&amp;"","")</f>
        <v/>
      </c>
      <c r="G258" s="6">
        <f>IF(AND(E258="",F258=""),"",IF(E258=F258,"agree","DIFFER"))</f>
        <v/>
      </c>
      <c r="H258" s="7" t="n"/>
      <c r="I258" s="6">
        <f>IF(H258&lt;&gt;"",H258,IF(G258="agree",E258,""))</f>
        <v/>
      </c>
    </row>
    <row r="259">
      <c r="A259" s="6" t="inlineStr">
        <is>
          <t>L13</t>
        </is>
      </c>
      <c r="B259" s="6" t="inlineStr">
        <is>
          <t>strong</t>
        </is>
      </c>
      <c r="C259" s="6" t="inlineStr">
        <is>
          <t>Risk — Adoption</t>
        </is>
      </c>
      <c r="D259" s="6" t="inlineStr"/>
      <c r="E259" s="6">
        <f>IFERROR(INDEX('Annotator A'!$T$5:$T$44,MATCH($A259,'Annotator A'!$A$5:$A$44,0))&amp;"","")</f>
        <v/>
      </c>
      <c r="F259" s="6">
        <f>IFERROR(INDEX('Annotator B'!$T$5:$T$44,MATCH($A259,'Annotator B'!$A$5:$A$44,0))&amp;"","")</f>
        <v/>
      </c>
      <c r="G259" s="6">
        <f>IF(AND(E259="",F259=""),"",IF(E259=F259,"agree","DIFFER"))</f>
        <v/>
      </c>
      <c r="H259" s="7" t="n"/>
      <c r="I259" s="6">
        <f>IF(H259&lt;&gt;"",H259,IF(G259="agree",E259,""))</f>
        <v/>
      </c>
    </row>
    <row r="260">
      <c r="A260" s="6" t="inlineStr">
        <is>
          <t>L13</t>
        </is>
      </c>
      <c r="B260" s="6" t="inlineStr">
        <is>
          <t>strong</t>
        </is>
      </c>
      <c r="C260" s="6" t="inlineStr">
        <is>
          <t>Risk — Data</t>
        </is>
      </c>
      <c r="D260" s="6" t="inlineStr"/>
      <c r="E260" s="6">
        <f>IFERROR(INDEX('Annotator A'!$U$5:$U$44,MATCH($A260,'Annotator A'!$A$5:$A$44,0))&amp;"","")</f>
        <v/>
      </c>
      <c r="F260" s="6">
        <f>IFERROR(INDEX('Annotator B'!$U$5:$U$44,MATCH($A260,'Annotator B'!$A$5:$A$44,0))&amp;"","")</f>
        <v/>
      </c>
      <c r="G260" s="6">
        <f>IF(AND(E260="",F260=""),"",IF(E260=F260,"agree","DIFFER"))</f>
        <v/>
      </c>
      <c r="H260" s="7" t="n"/>
      <c r="I260" s="6">
        <f>IF(H260&lt;&gt;"",H260,IF(G260="agree",E260,""))</f>
        <v/>
      </c>
    </row>
    <row r="261">
      <c r="A261" s="6" t="inlineStr">
        <is>
          <t>L13</t>
        </is>
      </c>
      <c r="B261" s="6" t="inlineStr">
        <is>
          <t>strong</t>
        </is>
      </c>
      <c r="C261" s="6" t="inlineStr">
        <is>
          <t>Risk — Vendor</t>
        </is>
      </c>
      <c r="D261" s="6" t="inlineStr"/>
      <c r="E261" s="6">
        <f>IFERROR(INDEX('Annotator A'!$V$5:$V$44,MATCH($A261,'Annotator A'!$A$5:$A$44,0))&amp;"","")</f>
        <v/>
      </c>
      <c r="F261" s="6">
        <f>IFERROR(INDEX('Annotator B'!$V$5:$V$44,MATCH($A261,'Annotator B'!$A$5:$A$44,0))&amp;"","")</f>
        <v/>
      </c>
      <c r="G261" s="6">
        <f>IF(AND(E261="",F261=""),"",IF(E261=F261,"agree","DIFFER"))</f>
        <v/>
      </c>
      <c r="H261" s="7" t="n"/>
      <c r="I261" s="6">
        <f>IF(H261&lt;&gt;"",H261,IF(G261="agree",E261,""))</f>
        <v/>
      </c>
    </row>
    <row r="262">
      <c r="A262" s="6" t="inlineStr">
        <is>
          <t>L14</t>
        </is>
      </c>
      <c r="B262" s="6" t="inlineStr">
        <is>
          <t>vague</t>
        </is>
      </c>
      <c r="C262" s="6" t="inlineStr">
        <is>
          <t>Use cases</t>
        </is>
      </c>
      <c r="D262" s="6" t="inlineStr"/>
      <c r="E262" s="6">
        <f>IFERROR(INDEX('Annotator A'!$C$5:$C$44,MATCH($A262,'Annotator A'!$A$5:$A$44,0))&amp;"","")</f>
        <v/>
      </c>
      <c r="F262" s="6">
        <f>IFERROR(INDEX('Annotator B'!$C$5:$C$44,MATCH($A262,'Annotator B'!$A$5:$A$44,0))&amp;"","")</f>
        <v/>
      </c>
      <c r="G262" s="6" t="inlineStr">
        <is>
          <t>read both</t>
        </is>
      </c>
      <c r="H262" s="7" t="n"/>
      <c r="I262" s="6">
        <f>IF(H262&lt;&gt;"",H262,"")</f>
        <v/>
      </c>
    </row>
    <row r="263">
      <c r="A263" s="6" t="inlineStr">
        <is>
          <t>L14</t>
        </is>
      </c>
      <c r="B263" s="6" t="inlineStr">
        <is>
          <t>vague</t>
        </is>
      </c>
      <c r="C263" s="6" t="inlineStr">
        <is>
          <t>Value — Business impact</t>
        </is>
      </c>
      <c r="D263" s="6" t="inlineStr"/>
      <c r="E263" s="6">
        <f>IFERROR(INDEX('Annotator A'!$D$5:$D$44,MATCH($A263,'Annotator A'!$A$5:$A$44,0))&amp;"","")</f>
        <v/>
      </c>
      <c r="F263" s="6">
        <f>IFERROR(INDEX('Annotator B'!$D$5:$D$44,MATCH($A263,'Annotator B'!$A$5:$A$44,0))&amp;"","")</f>
        <v/>
      </c>
      <c r="G263" s="6">
        <f>IF(AND(E263="",F263=""),"",IF(E263=F263,"agree","DIFFER"))</f>
        <v/>
      </c>
      <c r="H263" s="7" t="n"/>
      <c r="I263" s="6">
        <f>IF(H263&lt;&gt;"",H263,IF(G263="agree",E263,""))</f>
        <v/>
      </c>
    </row>
    <row r="264">
      <c r="A264" s="6" t="inlineStr">
        <is>
          <t>L14</t>
        </is>
      </c>
      <c r="B264" s="6" t="inlineStr">
        <is>
          <t>vague</t>
        </is>
      </c>
      <c r="C264" s="6" t="inlineStr">
        <is>
          <t>Value — Productivity</t>
        </is>
      </c>
      <c r="D264" s="6" t="inlineStr"/>
      <c r="E264" s="6">
        <f>IFERROR(INDEX('Annotator A'!$E$5:$E$44,MATCH($A264,'Annotator A'!$A$5:$A$44,0))&amp;"","")</f>
        <v/>
      </c>
      <c r="F264" s="6">
        <f>IFERROR(INDEX('Annotator B'!$E$5:$E$44,MATCH($A264,'Annotator B'!$A$5:$A$44,0))&amp;"","")</f>
        <v/>
      </c>
      <c r="G264" s="6">
        <f>IF(AND(E264="",F264=""),"",IF(E264=F264,"agree","DIFFER"))</f>
        <v/>
      </c>
      <c r="H264" s="7" t="n"/>
      <c r="I264" s="6">
        <f>IF(H264&lt;&gt;"",H264,IF(G264="agree",E264,""))</f>
        <v/>
      </c>
    </row>
    <row r="265">
      <c r="A265" s="6" t="inlineStr">
        <is>
          <t>L14</t>
        </is>
      </c>
      <c r="B265" s="6" t="inlineStr">
        <is>
          <t>vague</t>
        </is>
      </c>
      <c r="C265" s="6" t="inlineStr">
        <is>
          <t>Value — Cost reduction</t>
        </is>
      </c>
      <c r="D265" s="6" t="inlineStr"/>
      <c r="E265" s="6">
        <f>IFERROR(INDEX('Annotator A'!$F$5:$F$44,MATCH($A265,'Annotator A'!$A$5:$A$44,0))&amp;"","")</f>
        <v/>
      </c>
      <c r="F265" s="6">
        <f>IFERROR(INDEX('Annotator B'!$F$5:$F$44,MATCH($A265,'Annotator B'!$A$5:$A$44,0))&amp;"","")</f>
        <v/>
      </c>
      <c r="G265" s="6">
        <f>IF(AND(E265="",F265=""),"",IF(E265=F265,"agree","DIFFER"))</f>
        <v/>
      </c>
      <c r="H265" s="7" t="n"/>
      <c r="I265" s="6">
        <f>IF(H265&lt;&gt;"",H265,IF(G265="agree",E265,""))</f>
        <v/>
      </c>
    </row>
    <row r="266">
      <c r="A266" s="6" t="inlineStr">
        <is>
          <t>L14</t>
        </is>
      </c>
      <c r="B266" s="6" t="inlineStr">
        <is>
          <t>vague</t>
        </is>
      </c>
      <c r="C266" s="6" t="inlineStr">
        <is>
          <t>Value — Revenue</t>
        </is>
      </c>
      <c r="D266" s="6" t="inlineStr"/>
      <c r="E266" s="6">
        <f>IFERROR(INDEX('Annotator A'!$G$5:$G$44,MATCH($A266,'Annotator A'!$A$5:$A$44,0))&amp;"","")</f>
        <v/>
      </c>
      <c r="F266" s="6">
        <f>IFERROR(INDEX('Annotator B'!$G$5:$G$44,MATCH($A266,'Annotator B'!$A$5:$A$44,0))&amp;"","")</f>
        <v/>
      </c>
      <c r="G266" s="6">
        <f>IF(AND(E266="",F266=""),"",IF(E266=F266,"agree","DIFFER"))</f>
        <v/>
      </c>
      <c r="H266" s="7" t="n"/>
      <c r="I266" s="6">
        <f>IF(H266&lt;&gt;"",H266,IF(G266="agree",E266,""))</f>
        <v/>
      </c>
    </row>
    <row r="267">
      <c r="A267" s="6" t="inlineStr">
        <is>
          <t>L14</t>
        </is>
      </c>
      <c r="B267" s="6" t="inlineStr">
        <is>
          <t>vague</t>
        </is>
      </c>
      <c r="C267" s="6" t="inlineStr">
        <is>
          <t>Value — Employee experience</t>
        </is>
      </c>
      <c r="D267" s="6" t="inlineStr"/>
      <c r="E267" s="6">
        <f>IFERROR(INDEX('Annotator A'!$H$5:$H$44,MATCH($A267,'Annotator A'!$A$5:$A$44,0))&amp;"","")</f>
        <v/>
      </c>
      <c r="F267" s="6">
        <f>IFERROR(INDEX('Annotator B'!$H$5:$H$44,MATCH($A267,'Annotator B'!$A$5:$A$44,0))&amp;"","")</f>
        <v/>
      </c>
      <c r="G267" s="6">
        <f>IF(AND(E267="",F267=""),"",IF(E267=F267,"agree","DIFFER"))</f>
        <v/>
      </c>
      <c r="H267" s="7" t="n"/>
      <c r="I267" s="6">
        <f>IF(H267&lt;&gt;"",H267,IF(G267="agree",E267,""))</f>
        <v/>
      </c>
    </row>
    <row r="268">
      <c r="A268" s="6" t="inlineStr">
        <is>
          <t>L14</t>
        </is>
      </c>
      <c r="B268" s="6" t="inlineStr">
        <is>
          <t>vague</t>
        </is>
      </c>
      <c r="C268" s="6" t="inlineStr">
        <is>
          <t>Value — Customer impact</t>
        </is>
      </c>
      <c r="D268" s="6" t="inlineStr"/>
      <c r="E268" s="6">
        <f>IFERROR(INDEX('Annotator A'!$I$5:$I$44,MATCH($A268,'Annotator A'!$A$5:$A$44,0))&amp;"","")</f>
        <v/>
      </c>
      <c r="F268" s="6">
        <f>IFERROR(INDEX('Annotator B'!$I$5:$I$44,MATCH($A268,'Annotator B'!$A$5:$A$44,0))&amp;"","")</f>
        <v/>
      </c>
      <c r="G268" s="6">
        <f>IF(AND(E268="",F268=""),"",IF(E268=F268,"agree","DIFFER"))</f>
        <v/>
      </c>
      <c r="H268" s="7" t="n"/>
      <c r="I268" s="6">
        <f>IF(H268&lt;&gt;"",H268,IF(G268="agree",E268,""))</f>
        <v/>
      </c>
    </row>
    <row r="269">
      <c r="A269" s="6" t="inlineStr">
        <is>
          <t>L14</t>
        </is>
      </c>
      <c r="B269" s="6" t="inlineStr">
        <is>
          <t>vague</t>
        </is>
      </c>
      <c r="C269" s="6" t="inlineStr">
        <is>
          <t>Value — Operational</t>
        </is>
      </c>
      <c r="D269" s="6" t="inlineStr"/>
      <c r="E269" s="6">
        <f>IFERROR(INDEX('Annotator A'!$J$5:$J$44,MATCH($A269,'Annotator A'!$A$5:$A$44,0))&amp;"","")</f>
        <v/>
      </c>
      <c r="F269" s="6">
        <f>IFERROR(INDEX('Annotator B'!$J$5:$J$44,MATCH($A269,'Annotator B'!$A$5:$A$44,0))&amp;"","")</f>
        <v/>
      </c>
      <c r="G269" s="6">
        <f>IF(AND(E269="",F269=""),"",IF(E269=F269,"agree","DIFFER"))</f>
        <v/>
      </c>
      <c r="H269" s="7" t="n"/>
      <c r="I269" s="6">
        <f>IF(H269&lt;&gt;"",H269,IF(G269="agree",E269,""))</f>
        <v/>
      </c>
    </row>
    <row r="270">
      <c r="A270" s="6" t="inlineStr">
        <is>
          <t>L14</t>
        </is>
      </c>
      <c r="B270" s="6" t="inlineStr">
        <is>
          <t>vague</t>
        </is>
      </c>
      <c r="C270" s="6" t="inlineStr">
        <is>
          <t>Value — Problem severity</t>
        </is>
      </c>
      <c r="D270" s="6" t="inlineStr"/>
      <c r="E270" s="6">
        <f>IFERROR(INDEX('Annotator A'!$K$5:$K$44,MATCH($A270,'Annotator A'!$A$5:$A$44,0))&amp;"","")</f>
        <v/>
      </c>
      <c r="F270" s="6">
        <f>IFERROR(INDEX('Annotator B'!$K$5:$K$44,MATCH($A270,'Annotator B'!$A$5:$A$44,0))&amp;"","")</f>
        <v/>
      </c>
      <c r="G270" s="6">
        <f>IF(AND(E270="",F270=""),"",IF(E270=F270,"agree","DIFFER"))</f>
        <v/>
      </c>
      <c r="H270" s="7" t="n"/>
      <c r="I270" s="6">
        <f>IF(H270&lt;&gt;"",H270,IF(G270="agree",E270,""))</f>
        <v/>
      </c>
    </row>
    <row r="271">
      <c r="A271" s="6" t="inlineStr">
        <is>
          <t>L14</t>
        </is>
      </c>
      <c r="B271" s="6" t="inlineStr">
        <is>
          <t>vague</t>
        </is>
      </c>
      <c r="C271" s="6" t="inlineStr">
        <is>
          <t>Value — Problem frequency</t>
        </is>
      </c>
      <c r="D271" s="6" t="inlineStr"/>
      <c r="E271" s="6">
        <f>IFERROR(INDEX('Annotator A'!$L$5:$L$44,MATCH($A271,'Annotator A'!$A$5:$A$44,0))&amp;"","")</f>
        <v/>
      </c>
      <c r="F271" s="6">
        <f>IFERROR(INDEX('Annotator B'!$L$5:$L$44,MATCH($A271,'Annotator B'!$A$5:$A$44,0))&amp;"","")</f>
        <v/>
      </c>
      <c r="G271" s="6">
        <f>IF(AND(E271="",F271=""),"",IF(E271=F271,"agree","DIFFER"))</f>
        <v/>
      </c>
      <c r="H271" s="7" t="n"/>
      <c r="I271" s="6">
        <f>IF(H271&lt;&gt;"",H271,IF(G271="agree",E271,""))</f>
        <v/>
      </c>
    </row>
    <row r="272">
      <c r="A272" s="6" t="inlineStr">
        <is>
          <t>L14</t>
        </is>
      </c>
      <c r="B272" s="6" t="inlineStr">
        <is>
          <t>vague</t>
        </is>
      </c>
      <c r="C272" s="6" t="inlineStr">
        <is>
          <t>Feasibility status</t>
        </is>
      </c>
      <c r="D272" s="6" t="inlineStr"/>
      <c r="E272" s="6">
        <f>IFERROR(INDEX('Annotator A'!$M$5:$M$44,MATCH($A272,'Annotator A'!$A$5:$A$44,0))&amp;"","")</f>
        <v/>
      </c>
      <c r="F272" s="6">
        <f>IFERROR(INDEX('Annotator B'!$M$5:$M$44,MATCH($A272,'Annotator B'!$A$5:$A$44,0))&amp;"","")</f>
        <v/>
      </c>
      <c r="G272" s="6">
        <f>IF(AND(E272="",F272=""),"",IF(E272=F272,"agree","DIFFER"))</f>
        <v/>
      </c>
      <c r="H272" s="7" t="n"/>
      <c r="I272" s="6">
        <f>IF(H272&lt;&gt;"",H272,IF(G272="agree",E272,""))</f>
        <v/>
      </c>
    </row>
    <row r="273">
      <c r="A273" s="6" t="inlineStr">
        <is>
          <t>L14</t>
        </is>
      </c>
      <c r="B273" s="6" t="inlineStr">
        <is>
          <t>vague</t>
        </is>
      </c>
      <c r="C273" s="6" t="inlineStr">
        <is>
          <t>Risk — Technical</t>
        </is>
      </c>
      <c r="D273" s="6" t="inlineStr"/>
      <c r="E273" s="6">
        <f>IFERROR(INDEX('Annotator A'!$N$5:$N$44,MATCH($A273,'Annotator A'!$A$5:$A$44,0))&amp;"","")</f>
        <v/>
      </c>
      <c r="F273" s="6">
        <f>IFERROR(INDEX('Annotator B'!$N$5:$N$44,MATCH($A273,'Annotator B'!$A$5:$A$44,0))&amp;"","")</f>
        <v/>
      </c>
      <c r="G273" s="6">
        <f>IF(AND(E273="",F273=""),"",IF(E273=F273,"agree","DIFFER"))</f>
        <v/>
      </c>
      <c r="H273" s="7" t="n"/>
      <c r="I273" s="6">
        <f>IF(H273&lt;&gt;"",H273,IF(G273="agree",E273,""))</f>
        <v/>
      </c>
    </row>
    <row r="274">
      <c r="A274" s="6" t="inlineStr">
        <is>
          <t>L14</t>
        </is>
      </c>
      <c r="B274" s="6" t="inlineStr">
        <is>
          <t>vague</t>
        </is>
      </c>
      <c r="C274" s="6" t="inlineStr">
        <is>
          <t>Risk — Security</t>
        </is>
      </c>
      <c r="D274" s="6" t="inlineStr"/>
      <c r="E274" s="6">
        <f>IFERROR(INDEX('Annotator A'!$O$5:$O$44,MATCH($A274,'Annotator A'!$A$5:$A$44,0))&amp;"","")</f>
        <v/>
      </c>
      <c r="F274" s="6">
        <f>IFERROR(INDEX('Annotator B'!$O$5:$O$44,MATCH($A274,'Annotator B'!$A$5:$A$44,0))&amp;"","")</f>
        <v/>
      </c>
      <c r="G274" s="6">
        <f>IF(AND(E274="",F274=""),"",IF(E274=F274,"agree","DIFFER"))</f>
        <v/>
      </c>
      <c r="H274" s="7" t="n"/>
      <c r="I274" s="6">
        <f>IF(H274&lt;&gt;"",H274,IF(G274="agree",E274,""))</f>
        <v/>
      </c>
    </row>
    <row r="275">
      <c r="A275" s="6" t="inlineStr">
        <is>
          <t>L14</t>
        </is>
      </c>
      <c r="B275" s="6" t="inlineStr">
        <is>
          <t>vague</t>
        </is>
      </c>
      <c r="C275" s="6" t="inlineStr">
        <is>
          <t>Risk — Privacy</t>
        </is>
      </c>
      <c r="D275" s="6" t="inlineStr"/>
      <c r="E275" s="6">
        <f>IFERROR(INDEX('Annotator A'!$P$5:$P$44,MATCH($A275,'Annotator A'!$A$5:$A$44,0))&amp;"","")</f>
        <v/>
      </c>
      <c r="F275" s="6">
        <f>IFERROR(INDEX('Annotator B'!$P$5:$P$44,MATCH($A275,'Annotator B'!$A$5:$A$44,0))&amp;"","")</f>
        <v/>
      </c>
      <c r="G275" s="6">
        <f>IF(AND(E275="",F275=""),"",IF(E275=F275,"agree","DIFFER"))</f>
        <v/>
      </c>
      <c r="H275" s="7" t="n"/>
      <c r="I275" s="6">
        <f>IF(H275&lt;&gt;"",H275,IF(G275="agree",E275,""))</f>
        <v/>
      </c>
    </row>
    <row r="276">
      <c r="A276" s="6" t="inlineStr">
        <is>
          <t>L14</t>
        </is>
      </c>
      <c r="B276" s="6" t="inlineStr">
        <is>
          <t>vague</t>
        </is>
      </c>
      <c r="C276" s="6" t="inlineStr">
        <is>
          <t>Risk — Compliance</t>
        </is>
      </c>
      <c r="D276" s="6" t="inlineStr"/>
      <c r="E276" s="6">
        <f>IFERROR(INDEX('Annotator A'!$Q$5:$Q$44,MATCH($A276,'Annotator A'!$A$5:$A$44,0))&amp;"","")</f>
        <v/>
      </c>
      <c r="F276" s="6">
        <f>IFERROR(INDEX('Annotator B'!$Q$5:$Q$44,MATCH($A276,'Annotator B'!$A$5:$A$44,0))&amp;"","")</f>
        <v/>
      </c>
      <c r="G276" s="6">
        <f>IF(AND(E276="",F276=""),"",IF(E276=F276,"agree","DIFFER"))</f>
        <v/>
      </c>
      <c r="H276" s="7" t="n"/>
      <c r="I276" s="6">
        <f>IF(H276&lt;&gt;"",H276,IF(G276="agree",E276,""))</f>
        <v/>
      </c>
    </row>
    <row r="277">
      <c r="A277" s="6" t="inlineStr">
        <is>
          <t>L14</t>
        </is>
      </c>
      <c r="B277" s="6" t="inlineStr">
        <is>
          <t>vague</t>
        </is>
      </c>
      <c r="C277" s="6" t="inlineStr">
        <is>
          <t>Risk — Financial</t>
        </is>
      </c>
      <c r="D277" s="6" t="inlineStr"/>
      <c r="E277" s="6">
        <f>IFERROR(INDEX('Annotator A'!$R$5:$R$44,MATCH($A277,'Annotator A'!$A$5:$A$44,0))&amp;"","")</f>
        <v/>
      </c>
      <c r="F277" s="6">
        <f>IFERROR(INDEX('Annotator B'!$R$5:$R$44,MATCH($A277,'Annotator B'!$A$5:$A$44,0))&amp;"","")</f>
        <v/>
      </c>
      <c r="G277" s="6">
        <f>IF(AND(E277="",F277=""),"",IF(E277=F277,"agree","DIFFER"))</f>
        <v/>
      </c>
      <c r="H277" s="7" t="n"/>
      <c r="I277" s="6">
        <f>IF(H277&lt;&gt;"",H277,IF(G277="agree",E277,""))</f>
        <v/>
      </c>
    </row>
    <row r="278">
      <c r="A278" s="6" t="inlineStr">
        <is>
          <t>L14</t>
        </is>
      </c>
      <c r="B278" s="6" t="inlineStr">
        <is>
          <t>vague</t>
        </is>
      </c>
      <c r="C278" s="6" t="inlineStr">
        <is>
          <t>Risk — Operational</t>
        </is>
      </c>
      <c r="D278" s="6" t="inlineStr"/>
      <c r="E278" s="6">
        <f>IFERROR(INDEX('Annotator A'!$S$5:$S$44,MATCH($A278,'Annotator A'!$A$5:$A$44,0))&amp;"","")</f>
        <v/>
      </c>
      <c r="F278" s="6">
        <f>IFERROR(INDEX('Annotator B'!$S$5:$S$44,MATCH($A278,'Annotator B'!$A$5:$A$44,0))&amp;"","")</f>
        <v/>
      </c>
      <c r="G278" s="6">
        <f>IF(AND(E278="",F278=""),"",IF(E278=F278,"agree","DIFFER"))</f>
        <v/>
      </c>
      <c r="H278" s="7" t="n"/>
      <c r="I278" s="6">
        <f>IF(H278&lt;&gt;"",H278,IF(G278="agree",E278,""))</f>
        <v/>
      </c>
    </row>
    <row r="279">
      <c r="A279" s="6" t="inlineStr">
        <is>
          <t>L14</t>
        </is>
      </c>
      <c r="B279" s="6" t="inlineStr">
        <is>
          <t>vague</t>
        </is>
      </c>
      <c r="C279" s="6" t="inlineStr">
        <is>
          <t>Risk — Adoption</t>
        </is>
      </c>
      <c r="D279" s="6" t="inlineStr"/>
      <c r="E279" s="6">
        <f>IFERROR(INDEX('Annotator A'!$T$5:$T$44,MATCH($A279,'Annotator A'!$A$5:$A$44,0))&amp;"","")</f>
        <v/>
      </c>
      <c r="F279" s="6">
        <f>IFERROR(INDEX('Annotator B'!$T$5:$T$44,MATCH($A279,'Annotator B'!$A$5:$A$44,0))&amp;"","")</f>
        <v/>
      </c>
      <c r="G279" s="6">
        <f>IF(AND(E279="",F279=""),"",IF(E279=F279,"agree","DIFFER"))</f>
        <v/>
      </c>
      <c r="H279" s="7" t="n"/>
      <c r="I279" s="6">
        <f>IF(H279&lt;&gt;"",H279,IF(G279="agree",E279,""))</f>
        <v/>
      </c>
    </row>
    <row r="280">
      <c r="A280" s="6" t="inlineStr">
        <is>
          <t>L14</t>
        </is>
      </c>
      <c r="B280" s="6" t="inlineStr">
        <is>
          <t>vague</t>
        </is>
      </c>
      <c r="C280" s="6" t="inlineStr">
        <is>
          <t>Risk — Data</t>
        </is>
      </c>
      <c r="D280" s="6" t="inlineStr"/>
      <c r="E280" s="6">
        <f>IFERROR(INDEX('Annotator A'!$U$5:$U$44,MATCH($A280,'Annotator A'!$A$5:$A$44,0))&amp;"","")</f>
        <v/>
      </c>
      <c r="F280" s="6">
        <f>IFERROR(INDEX('Annotator B'!$U$5:$U$44,MATCH($A280,'Annotator B'!$A$5:$A$44,0))&amp;"","")</f>
        <v/>
      </c>
      <c r="G280" s="6">
        <f>IF(AND(E280="",F280=""),"",IF(E280=F280,"agree","DIFFER"))</f>
        <v/>
      </c>
      <c r="H280" s="7" t="n"/>
      <c r="I280" s="6">
        <f>IF(H280&lt;&gt;"",H280,IF(G280="agree",E280,""))</f>
        <v/>
      </c>
    </row>
    <row r="281">
      <c r="A281" s="6" t="inlineStr">
        <is>
          <t>L14</t>
        </is>
      </c>
      <c r="B281" s="6" t="inlineStr">
        <is>
          <t>vague</t>
        </is>
      </c>
      <c r="C281" s="6" t="inlineStr">
        <is>
          <t>Risk — Vendor</t>
        </is>
      </c>
      <c r="D281" s="6" t="inlineStr"/>
      <c r="E281" s="6">
        <f>IFERROR(INDEX('Annotator A'!$V$5:$V$44,MATCH($A281,'Annotator A'!$A$5:$A$44,0))&amp;"","")</f>
        <v/>
      </c>
      <c r="F281" s="6">
        <f>IFERROR(INDEX('Annotator B'!$V$5:$V$44,MATCH($A281,'Annotator B'!$A$5:$A$44,0))&amp;"","")</f>
        <v/>
      </c>
      <c r="G281" s="6">
        <f>IF(AND(E281="",F281=""),"",IF(E281=F281,"agree","DIFFER"))</f>
        <v/>
      </c>
      <c r="H281" s="7" t="n"/>
      <c r="I281" s="6">
        <f>IF(H281&lt;&gt;"",H281,IF(G281="agree",E281,""))</f>
        <v/>
      </c>
    </row>
    <row r="282">
      <c r="A282" s="6" t="inlineStr">
        <is>
          <t>L15</t>
        </is>
      </c>
      <c r="B282" s="6" t="inlineStr">
        <is>
          <t>infeasible</t>
        </is>
      </c>
      <c r="C282" s="6" t="inlineStr">
        <is>
          <t>Use cases</t>
        </is>
      </c>
      <c r="D282" s="6" t="inlineStr"/>
      <c r="E282" s="6">
        <f>IFERROR(INDEX('Annotator A'!$C$5:$C$44,MATCH($A282,'Annotator A'!$A$5:$A$44,0))&amp;"","")</f>
        <v/>
      </c>
      <c r="F282" s="6">
        <f>IFERROR(INDEX('Annotator B'!$C$5:$C$44,MATCH($A282,'Annotator B'!$A$5:$A$44,0))&amp;"","")</f>
        <v/>
      </c>
      <c r="G282" s="6" t="inlineStr">
        <is>
          <t>read both</t>
        </is>
      </c>
      <c r="H282" s="7" t="n"/>
      <c r="I282" s="6">
        <f>IF(H282&lt;&gt;"",H282,"")</f>
        <v/>
      </c>
    </row>
    <row r="283">
      <c r="A283" s="6" t="inlineStr">
        <is>
          <t>L15</t>
        </is>
      </c>
      <c r="B283" s="6" t="inlineStr">
        <is>
          <t>infeasible</t>
        </is>
      </c>
      <c r="C283" s="6" t="inlineStr">
        <is>
          <t>Value — Business impact</t>
        </is>
      </c>
      <c r="D283" s="6" t="inlineStr"/>
      <c r="E283" s="6">
        <f>IFERROR(INDEX('Annotator A'!$D$5:$D$44,MATCH($A283,'Annotator A'!$A$5:$A$44,0))&amp;"","")</f>
        <v/>
      </c>
      <c r="F283" s="6">
        <f>IFERROR(INDEX('Annotator B'!$D$5:$D$44,MATCH($A283,'Annotator B'!$A$5:$A$44,0))&amp;"","")</f>
        <v/>
      </c>
      <c r="G283" s="6">
        <f>IF(AND(E283="",F283=""),"",IF(E283=F283,"agree","DIFFER"))</f>
        <v/>
      </c>
      <c r="H283" s="7" t="n"/>
      <c r="I283" s="6">
        <f>IF(H283&lt;&gt;"",H283,IF(G283="agree",E283,""))</f>
        <v/>
      </c>
    </row>
    <row r="284">
      <c r="A284" s="6" t="inlineStr">
        <is>
          <t>L15</t>
        </is>
      </c>
      <c r="B284" s="6" t="inlineStr">
        <is>
          <t>infeasible</t>
        </is>
      </c>
      <c r="C284" s="6" t="inlineStr">
        <is>
          <t>Value — Productivity</t>
        </is>
      </c>
      <c r="D284" s="6" t="inlineStr"/>
      <c r="E284" s="6">
        <f>IFERROR(INDEX('Annotator A'!$E$5:$E$44,MATCH($A284,'Annotator A'!$A$5:$A$44,0))&amp;"","")</f>
        <v/>
      </c>
      <c r="F284" s="6">
        <f>IFERROR(INDEX('Annotator B'!$E$5:$E$44,MATCH($A284,'Annotator B'!$A$5:$A$44,0))&amp;"","")</f>
        <v/>
      </c>
      <c r="G284" s="6">
        <f>IF(AND(E284="",F284=""),"",IF(E284=F284,"agree","DIFFER"))</f>
        <v/>
      </c>
      <c r="H284" s="7" t="n"/>
      <c r="I284" s="6">
        <f>IF(H284&lt;&gt;"",H284,IF(G284="agree",E284,""))</f>
        <v/>
      </c>
    </row>
    <row r="285">
      <c r="A285" s="6" t="inlineStr">
        <is>
          <t>L15</t>
        </is>
      </c>
      <c r="B285" s="6" t="inlineStr">
        <is>
          <t>infeasible</t>
        </is>
      </c>
      <c r="C285" s="6" t="inlineStr">
        <is>
          <t>Value — Cost reduction</t>
        </is>
      </c>
      <c r="D285" s="6" t="inlineStr"/>
      <c r="E285" s="6">
        <f>IFERROR(INDEX('Annotator A'!$F$5:$F$44,MATCH($A285,'Annotator A'!$A$5:$A$44,0))&amp;"","")</f>
        <v/>
      </c>
      <c r="F285" s="6">
        <f>IFERROR(INDEX('Annotator B'!$F$5:$F$44,MATCH($A285,'Annotator B'!$A$5:$A$44,0))&amp;"","")</f>
        <v/>
      </c>
      <c r="G285" s="6">
        <f>IF(AND(E285="",F285=""),"",IF(E285=F285,"agree","DIFFER"))</f>
        <v/>
      </c>
      <c r="H285" s="7" t="n"/>
      <c r="I285" s="6">
        <f>IF(H285&lt;&gt;"",H285,IF(G285="agree",E285,""))</f>
        <v/>
      </c>
    </row>
    <row r="286">
      <c r="A286" s="6" t="inlineStr">
        <is>
          <t>L15</t>
        </is>
      </c>
      <c r="B286" s="6" t="inlineStr">
        <is>
          <t>infeasible</t>
        </is>
      </c>
      <c r="C286" s="6" t="inlineStr">
        <is>
          <t>Value — Revenue</t>
        </is>
      </c>
      <c r="D286" s="6" t="inlineStr"/>
      <c r="E286" s="6">
        <f>IFERROR(INDEX('Annotator A'!$G$5:$G$44,MATCH($A286,'Annotator A'!$A$5:$A$44,0))&amp;"","")</f>
        <v/>
      </c>
      <c r="F286" s="6">
        <f>IFERROR(INDEX('Annotator B'!$G$5:$G$44,MATCH($A286,'Annotator B'!$A$5:$A$44,0))&amp;"","")</f>
        <v/>
      </c>
      <c r="G286" s="6">
        <f>IF(AND(E286="",F286=""),"",IF(E286=F286,"agree","DIFFER"))</f>
        <v/>
      </c>
      <c r="H286" s="7" t="n"/>
      <c r="I286" s="6">
        <f>IF(H286&lt;&gt;"",H286,IF(G286="agree",E286,""))</f>
        <v/>
      </c>
    </row>
    <row r="287">
      <c r="A287" s="6" t="inlineStr">
        <is>
          <t>L15</t>
        </is>
      </c>
      <c r="B287" s="6" t="inlineStr">
        <is>
          <t>infeasible</t>
        </is>
      </c>
      <c r="C287" s="6" t="inlineStr">
        <is>
          <t>Value — Employee experience</t>
        </is>
      </c>
      <c r="D287" s="6" t="inlineStr"/>
      <c r="E287" s="6">
        <f>IFERROR(INDEX('Annotator A'!$H$5:$H$44,MATCH($A287,'Annotator A'!$A$5:$A$44,0))&amp;"","")</f>
        <v/>
      </c>
      <c r="F287" s="6">
        <f>IFERROR(INDEX('Annotator B'!$H$5:$H$44,MATCH($A287,'Annotator B'!$A$5:$A$44,0))&amp;"","")</f>
        <v/>
      </c>
      <c r="G287" s="6">
        <f>IF(AND(E287="",F287=""),"",IF(E287=F287,"agree","DIFFER"))</f>
        <v/>
      </c>
      <c r="H287" s="7" t="n"/>
      <c r="I287" s="6">
        <f>IF(H287&lt;&gt;"",H287,IF(G287="agree",E287,""))</f>
        <v/>
      </c>
    </row>
    <row r="288">
      <c r="A288" s="6" t="inlineStr">
        <is>
          <t>L15</t>
        </is>
      </c>
      <c r="B288" s="6" t="inlineStr">
        <is>
          <t>infeasible</t>
        </is>
      </c>
      <c r="C288" s="6" t="inlineStr">
        <is>
          <t>Value — Customer impact</t>
        </is>
      </c>
      <c r="D288" s="6" t="inlineStr"/>
      <c r="E288" s="6">
        <f>IFERROR(INDEX('Annotator A'!$I$5:$I$44,MATCH($A288,'Annotator A'!$A$5:$A$44,0))&amp;"","")</f>
        <v/>
      </c>
      <c r="F288" s="6">
        <f>IFERROR(INDEX('Annotator B'!$I$5:$I$44,MATCH($A288,'Annotator B'!$A$5:$A$44,0))&amp;"","")</f>
        <v/>
      </c>
      <c r="G288" s="6">
        <f>IF(AND(E288="",F288=""),"",IF(E288=F288,"agree","DIFFER"))</f>
        <v/>
      </c>
      <c r="H288" s="7" t="n"/>
      <c r="I288" s="6">
        <f>IF(H288&lt;&gt;"",H288,IF(G288="agree",E288,""))</f>
        <v/>
      </c>
    </row>
    <row r="289">
      <c r="A289" s="6" t="inlineStr">
        <is>
          <t>L15</t>
        </is>
      </c>
      <c r="B289" s="6" t="inlineStr">
        <is>
          <t>infeasible</t>
        </is>
      </c>
      <c r="C289" s="6" t="inlineStr">
        <is>
          <t>Value — Operational</t>
        </is>
      </c>
      <c r="D289" s="6" t="inlineStr"/>
      <c r="E289" s="6">
        <f>IFERROR(INDEX('Annotator A'!$J$5:$J$44,MATCH($A289,'Annotator A'!$A$5:$A$44,0))&amp;"","")</f>
        <v/>
      </c>
      <c r="F289" s="6">
        <f>IFERROR(INDEX('Annotator B'!$J$5:$J$44,MATCH($A289,'Annotator B'!$A$5:$A$44,0))&amp;"","")</f>
        <v/>
      </c>
      <c r="G289" s="6">
        <f>IF(AND(E289="",F289=""),"",IF(E289=F289,"agree","DIFFER"))</f>
        <v/>
      </c>
      <c r="H289" s="7" t="n"/>
      <c r="I289" s="6">
        <f>IF(H289&lt;&gt;"",H289,IF(G289="agree",E289,""))</f>
        <v/>
      </c>
    </row>
    <row r="290">
      <c r="A290" s="6" t="inlineStr">
        <is>
          <t>L15</t>
        </is>
      </c>
      <c r="B290" s="6" t="inlineStr">
        <is>
          <t>infeasible</t>
        </is>
      </c>
      <c r="C290" s="6" t="inlineStr">
        <is>
          <t>Value — Problem severity</t>
        </is>
      </c>
      <c r="D290" s="6" t="inlineStr"/>
      <c r="E290" s="6">
        <f>IFERROR(INDEX('Annotator A'!$K$5:$K$44,MATCH($A290,'Annotator A'!$A$5:$A$44,0))&amp;"","")</f>
        <v/>
      </c>
      <c r="F290" s="6">
        <f>IFERROR(INDEX('Annotator B'!$K$5:$K$44,MATCH($A290,'Annotator B'!$A$5:$A$44,0))&amp;"","")</f>
        <v/>
      </c>
      <c r="G290" s="6">
        <f>IF(AND(E290="",F290=""),"",IF(E290=F290,"agree","DIFFER"))</f>
        <v/>
      </c>
      <c r="H290" s="7" t="n"/>
      <c r="I290" s="6">
        <f>IF(H290&lt;&gt;"",H290,IF(G290="agree",E290,""))</f>
        <v/>
      </c>
    </row>
    <row r="291">
      <c r="A291" s="6" t="inlineStr">
        <is>
          <t>L15</t>
        </is>
      </c>
      <c r="B291" s="6" t="inlineStr">
        <is>
          <t>infeasible</t>
        </is>
      </c>
      <c r="C291" s="6" t="inlineStr">
        <is>
          <t>Value — Problem frequency</t>
        </is>
      </c>
      <c r="D291" s="6" t="inlineStr"/>
      <c r="E291" s="6">
        <f>IFERROR(INDEX('Annotator A'!$L$5:$L$44,MATCH($A291,'Annotator A'!$A$5:$A$44,0))&amp;"","")</f>
        <v/>
      </c>
      <c r="F291" s="6">
        <f>IFERROR(INDEX('Annotator B'!$L$5:$L$44,MATCH($A291,'Annotator B'!$A$5:$A$44,0))&amp;"","")</f>
        <v/>
      </c>
      <c r="G291" s="6">
        <f>IF(AND(E291="",F291=""),"",IF(E291=F291,"agree","DIFFER"))</f>
        <v/>
      </c>
      <c r="H291" s="7" t="n"/>
      <c r="I291" s="6">
        <f>IF(H291&lt;&gt;"",H291,IF(G291="agree",E291,""))</f>
        <v/>
      </c>
    </row>
    <row r="292">
      <c r="A292" s="6" t="inlineStr">
        <is>
          <t>L15</t>
        </is>
      </c>
      <c r="B292" s="6" t="inlineStr">
        <is>
          <t>infeasible</t>
        </is>
      </c>
      <c r="C292" s="6" t="inlineStr">
        <is>
          <t>Feasibility status</t>
        </is>
      </c>
      <c r="D292" s="6" t="inlineStr">
        <is>
          <t>NOT_CURRENTLY_FEASIBLE</t>
        </is>
      </c>
      <c r="E292" s="6">
        <f>IFERROR(INDEX('Annotator A'!$M$5:$M$44,MATCH($A292,'Annotator A'!$A$5:$A$44,0))&amp;"","")</f>
        <v/>
      </c>
      <c r="F292" s="6">
        <f>IFERROR(INDEX('Annotator B'!$M$5:$M$44,MATCH($A292,'Annotator B'!$A$5:$A$44,0))&amp;"","")</f>
        <v/>
      </c>
      <c r="G292" s="6">
        <f>IF(AND(E292="",F292=""),"",IF(E292=F292,"agree","DIFFER"))</f>
        <v/>
      </c>
      <c r="H292" s="7" t="n"/>
      <c r="I292" s="6">
        <f>IF(H292&lt;&gt;"",H292,IF(G292="agree",E292,""))</f>
        <v/>
      </c>
    </row>
    <row r="293">
      <c r="A293" s="6" t="inlineStr">
        <is>
          <t>L15</t>
        </is>
      </c>
      <c r="B293" s="6" t="inlineStr">
        <is>
          <t>infeasible</t>
        </is>
      </c>
      <c r="C293" s="6" t="inlineStr">
        <is>
          <t>Risk — Technical</t>
        </is>
      </c>
      <c r="D293" s="6" t="inlineStr"/>
      <c r="E293" s="6">
        <f>IFERROR(INDEX('Annotator A'!$N$5:$N$44,MATCH($A293,'Annotator A'!$A$5:$A$44,0))&amp;"","")</f>
        <v/>
      </c>
      <c r="F293" s="6">
        <f>IFERROR(INDEX('Annotator B'!$N$5:$N$44,MATCH($A293,'Annotator B'!$A$5:$A$44,0))&amp;"","")</f>
        <v/>
      </c>
      <c r="G293" s="6">
        <f>IF(AND(E293="",F293=""),"",IF(E293=F293,"agree","DIFFER"))</f>
        <v/>
      </c>
      <c r="H293" s="7" t="n"/>
      <c r="I293" s="6">
        <f>IF(H293&lt;&gt;"",H293,IF(G293="agree",E293,""))</f>
        <v/>
      </c>
    </row>
    <row r="294">
      <c r="A294" s="6" t="inlineStr">
        <is>
          <t>L15</t>
        </is>
      </c>
      <c r="B294" s="6" t="inlineStr">
        <is>
          <t>infeasible</t>
        </is>
      </c>
      <c r="C294" s="6" t="inlineStr">
        <is>
          <t>Risk — Security</t>
        </is>
      </c>
      <c r="D294" s="6" t="inlineStr"/>
      <c r="E294" s="6">
        <f>IFERROR(INDEX('Annotator A'!$O$5:$O$44,MATCH($A294,'Annotator A'!$A$5:$A$44,0))&amp;"","")</f>
        <v/>
      </c>
      <c r="F294" s="6">
        <f>IFERROR(INDEX('Annotator B'!$O$5:$O$44,MATCH($A294,'Annotator B'!$A$5:$A$44,0))&amp;"","")</f>
        <v/>
      </c>
      <c r="G294" s="6">
        <f>IF(AND(E294="",F294=""),"",IF(E294=F294,"agree","DIFFER"))</f>
        <v/>
      </c>
      <c r="H294" s="7" t="n"/>
      <c r="I294" s="6">
        <f>IF(H294&lt;&gt;"",H294,IF(G294="agree",E294,""))</f>
        <v/>
      </c>
    </row>
    <row r="295">
      <c r="A295" s="6" t="inlineStr">
        <is>
          <t>L15</t>
        </is>
      </c>
      <c r="B295" s="6" t="inlineStr">
        <is>
          <t>infeasible</t>
        </is>
      </c>
      <c r="C295" s="6" t="inlineStr">
        <is>
          <t>Risk — Privacy</t>
        </is>
      </c>
      <c r="D295" s="6" t="inlineStr">
        <is>
          <t>Yes</t>
        </is>
      </c>
      <c r="E295" s="6">
        <f>IFERROR(INDEX('Annotator A'!$P$5:$P$44,MATCH($A295,'Annotator A'!$A$5:$A$44,0))&amp;"","")</f>
        <v/>
      </c>
      <c r="F295" s="6">
        <f>IFERROR(INDEX('Annotator B'!$P$5:$P$44,MATCH($A295,'Annotator B'!$A$5:$A$44,0))&amp;"","")</f>
        <v/>
      </c>
      <c r="G295" s="6">
        <f>IF(AND(E295="",F295=""),"",IF(E295=F295,"agree","DIFFER"))</f>
        <v/>
      </c>
      <c r="H295" s="7" t="n"/>
      <c r="I295" s="6">
        <f>IF(H295&lt;&gt;"",H295,IF(G295="agree",E295,""))</f>
        <v/>
      </c>
    </row>
    <row r="296">
      <c r="A296" s="6" t="inlineStr">
        <is>
          <t>L15</t>
        </is>
      </c>
      <c r="B296" s="6" t="inlineStr">
        <is>
          <t>infeasible</t>
        </is>
      </c>
      <c r="C296" s="6" t="inlineStr">
        <is>
          <t>Risk — Compliance</t>
        </is>
      </c>
      <c r="D296" s="6" t="inlineStr">
        <is>
          <t>Yes</t>
        </is>
      </c>
      <c r="E296" s="6">
        <f>IFERROR(INDEX('Annotator A'!$Q$5:$Q$44,MATCH($A296,'Annotator A'!$A$5:$A$44,0))&amp;"","")</f>
        <v/>
      </c>
      <c r="F296" s="6">
        <f>IFERROR(INDEX('Annotator B'!$Q$5:$Q$44,MATCH($A296,'Annotator B'!$A$5:$A$44,0))&amp;"","")</f>
        <v/>
      </c>
      <c r="G296" s="6">
        <f>IF(AND(E296="",F296=""),"",IF(E296=F296,"agree","DIFFER"))</f>
        <v/>
      </c>
      <c r="H296" s="7" t="n"/>
      <c r="I296" s="6">
        <f>IF(H296&lt;&gt;"",H296,IF(G296="agree",E296,""))</f>
        <v/>
      </c>
    </row>
    <row r="297">
      <c r="A297" s="6" t="inlineStr">
        <is>
          <t>L15</t>
        </is>
      </c>
      <c r="B297" s="6" t="inlineStr">
        <is>
          <t>infeasible</t>
        </is>
      </c>
      <c r="C297" s="6" t="inlineStr">
        <is>
          <t>Risk — Financial</t>
        </is>
      </c>
      <c r="D297" s="6" t="inlineStr"/>
      <c r="E297" s="6">
        <f>IFERROR(INDEX('Annotator A'!$R$5:$R$44,MATCH($A297,'Annotator A'!$A$5:$A$44,0))&amp;"","")</f>
        <v/>
      </c>
      <c r="F297" s="6">
        <f>IFERROR(INDEX('Annotator B'!$R$5:$R$44,MATCH($A297,'Annotator B'!$A$5:$A$44,0))&amp;"","")</f>
        <v/>
      </c>
      <c r="G297" s="6">
        <f>IF(AND(E297="",F297=""),"",IF(E297=F297,"agree","DIFFER"))</f>
        <v/>
      </c>
      <c r="H297" s="7" t="n"/>
      <c r="I297" s="6">
        <f>IF(H297&lt;&gt;"",H297,IF(G297="agree",E297,""))</f>
        <v/>
      </c>
    </row>
    <row r="298">
      <c r="A298" s="6" t="inlineStr">
        <is>
          <t>L15</t>
        </is>
      </c>
      <c r="B298" s="6" t="inlineStr">
        <is>
          <t>infeasible</t>
        </is>
      </c>
      <c r="C298" s="6" t="inlineStr">
        <is>
          <t>Risk — Operational</t>
        </is>
      </c>
      <c r="D298" s="6" t="inlineStr"/>
      <c r="E298" s="6">
        <f>IFERROR(INDEX('Annotator A'!$S$5:$S$44,MATCH($A298,'Annotator A'!$A$5:$A$44,0))&amp;"","")</f>
        <v/>
      </c>
      <c r="F298" s="6">
        <f>IFERROR(INDEX('Annotator B'!$S$5:$S$44,MATCH($A298,'Annotator B'!$A$5:$A$44,0))&amp;"","")</f>
        <v/>
      </c>
      <c r="G298" s="6">
        <f>IF(AND(E298="",F298=""),"",IF(E298=F298,"agree","DIFFER"))</f>
        <v/>
      </c>
      <c r="H298" s="7" t="n"/>
      <c r="I298" s="6">
        <f>IF(H298&lt;&gt;"",H298,IF(G298="agree",E298,""))</f>
        <v/>
      </c>
    </row>
    <row r="299">
      <c r="A299" s="6" t="inlineStr">
        <is>
          <t>L15</t>
        </is>
      </c>
      <c r="B299" s="6" t="inlineStr">
        <is>
          <t>infeasible</t>
        </is>
      </c>
      <c r="C299" s="6" t="inlineStr">
        <is>
          <t>Risk — Adoption</t>
        </is>
      </c>
      <c r="D299" s="6" t="inlineStr"/>
      <c r="E299" s="6">
        <f>IFERROR(INDEX('Annotator A'!$T$5:$T$44,MATCH($A299,'Annotator A'!$A$5:$A$44,0))&amp;"","")</f>
        <v/>
      </c>
      <c r="F299" s="6">
        <f>IFERROR(INDEX('Annotator B'!$T$5:$T$44,MATCH($A299,'Annotator B'!$A$5:$A$44,0))&amp;"","")</f>
        <v/>
      </c>
      <c r="G299" s="6">
        <f>IF(AND(E299="",F299=""),"",IF(E299=F299,"agree","DIFFER"))</f>
        <v/>
      </c>
      <c r="H299" s="7" t="n"/>
      <c r="I299" s="6">
        <f>IF(H299&lt;&gt;"",H299,IF(G299="agree",E299,""))</f>
        <v/>
      </c>
    </row>
    <row r="300">
      <c r="A300" s="6" t="inlineStr">
        <is>
          <t>L15</t>
        </is>
      </c>
      <c r="B300" s="6" t="inlineStr">
        <is>
          <t>infeasible</t>
        </is>
      </c>
      <c r="C300" s="6" t="inlineStr">
        <is>
          <t>Risk — Data</t>
        </is>
      </c>
      <c r="D300" s="6" t="inlineStr"/>
      <c r="E300" s="6">
        <f>IFERROR(INDEX('Annotator A'!$U$5:$U$44,MATCH($A300,'Annotator A'!$A$5:$A$44,0))&amp;"","")</f>
        <v/>
      </c>
      <c r="F300" s="6">
        <f>IFERROR(INDEX('Annotator B'!$U$5:$U$44,MATCH($A300,'Annotator B'!$A$5:$A$44,0))&amp;"","")</f>
        <v/>
      </c>
      <c r="G300" s="6">
        <f>IF(AND(E300="",F300=""),"",IF(E300=F300,"agree","DIFFER"))</f>
        <v/>
      </c>
      <c r="H300" s="7" t="n"/>
      <c r="I300" s="6">
        <f>IF(H300&lt;&gt;"",H300,IF(G300="agree",E300,""))</f>
        <v/>
      </c>
    </row>
    <row r="301">
      <c r="A301" s="6" t="inlineStr">
        <is>
          <t>L15</t>
        </is>
      </c>
      <c r="B301" s="6" t="inlineStr">
        <is>
          <t>infeasible</t>
        </is>
      </c>
      <c r="C301" s="6" t="inlineStr">
        <is>
          <t>Risk — Vendor</t>
        </is>
      </c>
      <c r="D301" s="6" t="inlineStr"/>
      <c r="E301" s="6">
        <f>IFERROR(INDEX('Annotator A'!$V$5:$V$44,MATCH($A301,'Annotator A'!$A$5:$A$44,0))&amp;"","")</f>
        <v/>
      </c>
      <c r="F301" s="6">
        <f>IFERROR(INDEX('Annotator B'!$V$5:$V$44,MATCH($A301,'Annotator B'!$A$5:$A$44,0))&amp;"","")</f>
        <v/>
      </c>
      <c r="G301" s="6">
        <f>IF(AND(E301="",F301=""),"",IF(E301=F301,"agree","DIFFER"))</f>
        <v/>
      </c>
      <c r="H301" s="7" t="n"/>
      <c r="I301" s="6">
        <f>IF(H301&lt;&gt;"",H301,IF(G301="agree",E301,""))</f>
        <v/>
      </c>
    </row>
    <row r="302">
      <c r="A302" s="6" t="inlineStr">
        <is>
          <t>L16</t>
        </is>
      </c>
      <c r="B302" s="6" t="inlineStr">
        <is>
          <t>vague</t>
        </is>
      </c>
      <c r="C302" s="6" t="inlineStr">
        <is>
          <t>Use cases</t>
        </is>
      </c>
      <c r="D302" s="6" t="inlineStr"/>
      <c r="E302" s="6">
        <f>IFERROR(INDEX('Annotator A'!$C$5:$C$44,MATCH($A302,'Annotator A'!$A$5:$A$44,0))&amp;"","")</f>
        <v/>
      </c>
      <c r="F302" s="6">
        <f>IFERROR(INDEX('Annotator B'!$C$5:$C$44,MATCH($A302,'Annotator B'!$A$5:$A$44,0))&amp;"","")</f>
        <v/>
      </c>
      <c r="G302" s="6" t="inlineStr">
        <is>
          <t>read both</t>
        </is>
      </c>
      <c r="H302" s="7" t="n"/>
      <c r="I302" s="6">
        <f>IF(H302&lt;&gt;"",H302,"")</f>
        <v/>
      </c>
    </row>
    <row r="303">
      <c r="A303" s="6" t="inlineStr">
        <is>
          <t>L16</t>
        </is>
      </c>
      <c r="B303" s="6" t="inlineStr">
        <is>
          <t>vague</t>
        </is>
      </c>
      <c r="C303" s="6" t="inlineStr">
        <is>
          <t>Value — Business impact</t>
        </is>
      </c>
      <c r="D303" s="6" t="inlineStr"/>
      <c r="E303" s="6">
        <f>IFERROR(INDEX('Annotator A'!$D$5:$D$44,MATCH($A303,'Annotator A'!$A$5:$A$44,0))&amp;"","")</f>
        <v/>
      </c>
      <c r="F303" s="6">
        <f>IFERROR(INDEX('Annotator B'!$D$5:$D$44,MATCH($A303,'Annotator B'!$A$5:$A$44,0))&amp;"","")</f>
        <v/>
      </c>
      <c r="G303" s="6">
        <f>IF(AND(E303="",F303=""),"",IF(E303=F303,"agree","DIFFER"))</f>
        <v/>
      </c>
      <c r="H303" s="7" t="n"/>
      <c r="I303" s="6">
        <f>IF(H303&lt;&gt;"",H303,IF(G303="agree",E303,""))</f>
        <v/>
      </c>
    </row>
    <row r="304">
      <c r="A304" s="6" t="inlineStr">
        <is>
          <t>L16</t>
        </is>
      </c>
      <c r="B304" s="6" t="inlineStr">
        <is>
          <t>vague</t>
        </is>
      </c>
      <c r="C304" s="6" t="inlineStr">
        <is>
          <t>Value — Productivity</t>
        </is>
      </c>
      <c r="D304" s="6" t="inlineStr"/>
      <c r="E304" s="6">
        <f>IFERROR(INDEX('Annotator A'!$E$5:$E$44,MATCH($A304,'Annotator A'!$A$5:$A$44,0))&amp;"","")</f>
        <v/>
      </c>
      <c r="F304" s="6">
        <f>IFERROR(INDEX('Annotator B'!$E$5:$E$44,MATCH($A304,'Annotator B'!$A$5:$A$44,0))&amp;"","")</f>
        <v/>
      </c>
      <c r="G304" s="6">
        <f>IF(AND(E304="",F304=""),"",IF(E304=F304,"agree","DIFFER"))</f>
        <v/>
      </c>
      <c r="H304" s="7" t="n"/>
      <c r="I304" s="6">
        <f>IF(H304&lt;&gt;"",H304,IF(G304="agree",E304,""))</f>
        <v/>
      </c>
    </row>
    <row r="305">
      <c r="A305" s="6" t="inlineStr">
        <is>
          <t>L16</t>
        </is>
      </c>
      <c r="B305" s="6" t="inlineStr">
        <is>
          <t>vague</t>
        </is>
      </c>
      <c r="C305" s="6" t="inlineStr">
        <is>
          <t>Value — Cost reduction</t>
        </is>
      </c>
      <c r="D305" s="6" t="inlineStr"/>
      <c r="E305" s="6">
        <f>IFERROR(INDEX('Annotator A'!$F$5:$F$44,MATCH($A305,'Annotator A'!$A$5:$A$44,0))&amp;"","")</f>
        <v/>
      </c>
      <c r="F305" s="6">
        <f>IFERROR(INDEX('Annotator B'!$F$5:$F$44,MATCH($A305,'Annotator B'!$A$5:$A$44,0))&amp;"","")</f>
        <v/>
      </c>
      <c r="G305" s="6">
        <f>IF(AND(E305="",F305=""),"",IF(E305=F305,"agree","DIFFER"))</f>
        <v/>
      </c>
      <c r="H305" s="7" t="n"/>
      <c r="I305" s="6">
        <f>IF(H305&lt;&gt;"",H305,IF(G305="agree",E305,""))</f>
        <v/>
      </c>
    </row>
    <row r="306">
      <c r="A306" s="6" t="inlineStr">
        <is>
          <t>L16</t>
        </is>
      </c>
      <c r="B306" s="6" t="inlineStr">
        <is>
          <t>vague</t>
        </is>
      </c>
      <c r="C306" s="6" t="inlineStr">
        <is>
          <t>Value — Revenue</t>
        </is>
      </c>
      <c r="D306" s="6" t="inlineStr"/>
      <c r="E306" s="6">
        <f>IFERROR(INDEX('Annotator A'!$G$5:$G$44,MATCH($A306,'Annotator A'!$A$5:$A$44,0))&amp;"","")</f>
        <v/>
      </c>
      <c r="F306" s="6">
        <f>IFERROR(INDEX('Annotator B'!$G$5:$G$44,MATCH($A306,'Annotator B'!$A$5:$A$44,0))&amp;"","")</f>
        <v/>
      </c>
      <c r="G306" s="6">
        <f>IF(AND(E306="",F306=""),"",IF(E306=F306,"agree","DIFFER"))</f>
        <v/>
      </c>
      <c r="H306" s="7" t="n"/>
      <c r="I306" s="6">
        <f>IF(H306&lt;&gt;"",H306,IF(G306="agree",E306,""))</f>
        <v/>
      </c>
    </row>
    <row r="307">
      <c r="A307" s="6" t="inlineStr">
        <is>
          <t>L16</t>
        </is>
      </c>
      <c r="B307" s="6" t="inlineStr">
        <is>
          <t>vague</t>
        </is>
      </c>
      <c r="C307" s="6" t="inlineStr">
        <is>
          <t>Value — Employee experience</t>
        </is>
      </c>
      <c r="D307" s="6" t="inlineStr"/>
      <c r="E307" s="6">
        <f>IFERROR(INDEX('Annotator A'!$H$5:$H$44,MATCH($A307,'Annotator A'!$A$5:$A$44,0))&amp;"","")</f>
        <v/>
      </c>
      <c r="F307" s="6">
        <f>IFERROR(INDEX('Annotator B'!$H$5:$H$44,MATCH($A307,'Annotator B'!$A$5:$A$44,0))&amp;"","")</f>
        <v/>
      </c>
      <c r="G307" s="6">
        <f>IF(AND(E307="",F307=""),"",IF(E307=F307,"agree","DIFFER"))</f>
        <v/>
      </c>
      <c r="H307" s="7" t="n"/>
      <c r="I307" s="6">
        <f>IF(H307&lt;&gt;"",H307,IF(G307="agree",E307,""))</f>
        <v/>
      </c>
    </row>
    <row r="308">
      <c r="A308" s="6" t="inlineStr">
        <is>
          <t>L16</t>
        </is>
      </c>
      <c r="B308" s="6" t="inlineStr">
        <is>
          <t>vague</t>
        </is>
      </c>
      <c r="C308" s="6" t="inlineStr">
        <is>
          <t>Value — Customer impact</t>
        </is>
      </c>
      <c r="D308" s="6" t="inlineStr"/>
      <c r="E308" s="6">
        <f>IFERROR(INDEX('Annotator A'!$I$5:$I$44,MATCH($A308,'Annotator A'!$A$5:$A$44,0))&amp;"","")</f>
        <v/>
      </c>
      <c r="F308" s="6">
        <f>IFERROR(INDEX('Annotator B'!$I$5:$I$44,MATCH($A308,'Annotator B'!$A$5:$A$44,0))&amp;"","")</f>
        <v/>
      </c>
      <c r="G308" s="6">
        <f>IF(AND(E308="",F308=""),"",IF(E308=F308,"agree","DIFFER"))</f>
        <v/>
      </c>
      <c r="H308" s="7" t="n"/>
      <c r="I308" s="6">
        <f>IF(H308&lt;&gt;"",H308,IF(G308="agree",E308,""))</f>
        <v/>
      </c>
    </row>
    <row r="309">
      <c r="A309" s="6" t="inlineStr">
        <is>
          <t>L16</t>
        </is>
      </c>
      <c r="B309" s="6" t="inlineStr">
        <is>
          <t>vague</t>
        </is>
      </c>
      <c r="C309" s="6" t="inlineStr">
        <is>
          <t>Value — Operational</t>
        </is>
      </c>
      <c r="D309" s="6" t="inlineStr"/>
      <c r="E309" s="6">
        <f>IFERROR(INDEX('Annotator A'!$J$5:$J$44,MATCH($A309,'Annotator A'!$A$5:$A$44,0))&amp;"","")</f>
        <v/>
      </c>
      <c r="F309" s="6">
        <f>IFERROR(INDEX('Annotator B'!$J$5:$J$44,MATCH($A309,'Annotator B'!$A$5:$A$44,0))&amp;"","")</f>
        <v/>
      </c>
      <c r="G309" s="6">
        <f>IF(AND(E309="",F309=""),"",IF(E309=F309,"agree","DIFFER"))</f>
        <v/>
      </c>
      <c r="H309" s="7" t="n"/>
      <c r="I309" s="6">
        <f>IF(H309&lt;&gt;"",H309,IF(G309="agree",E309,""))</f>
        <v/>
      </c>
    </row>
    <row r="310">
      <c r="A310" s="6" t="inlineStr">
        <is>
          <t>L16</t>
        </is>
      </c>
      <c r="B310" s="6" t="inlineStr">
        <is>
          <t>vague</t>
        </is>
      </c>
      <c r="C310" s="6" t="inlineStr">
        <is>
          <t>Value — Problem severity</t>
        </is>
      </c>
      <c r="D310" s="6" t="inlineStr"/>
      <c r="E310" s="6">
        <f>IFERROR(INDEX('Annotator A'!$K$5:$K$44,MATCH($A310,'Annotator A'!$A$5:$A$44,0))&amp;"","")</f>
        <v/>
      </c>
      <c r="F310" s="6">
        <f>IFERROR(INDEX('Annotator B'!$K$5:$K$44,MATCH($A310,'Annotator B'!$A$5:$A$44,0))&amp;"","")</f>
        <v/>
      </c>
      <c r="G310" s="6">
        <f>IF(AND(E310="",F310=""),"",IF(E310=F310,"agree","DIFFER"))</f>
        <v/>
      </c>
      <c r="H310" s="7" t="n"/>
      <c r="I310" s="6">
        <f>IF(H310&lt;&gt;"",H310,IF(G310="agree",E310,""))</f>
        <v/>
      </c>
    </row>
    <row r="311">
      <c r="A311" s="6" t="inlineStr">
        <is>
          <t>L16</t>
        </is>
      </c>
      <c r="B311" s="6" t="inlineStr">
        <is>
          <t>vague</t>
        </is>
      </c>
      <c r="C311" s="6" t="inlineStr">
        <is>
          <t>Value — Problem frequency</t>
        </is>
      </c>
      <c r="D311" s="6" t="inlineStr"/>
      <c r="E311" s="6">
        <f>IFERROR(INDEX('Annotator A'!$L$5:$L$44,MATCH($A311,'Annotator A'!$A$5:$A$44,0))&amp;"","")</f>
        <v/>
      </c>
      <c r="F311" s="6">
        <f>IFERROR(INDEX('Annotator B'!$L$5:$L$44,MATCH($A311,'Annotator B'!$A$5:$A$44,0))&amp;"","")</f>
        <v/>
      </c>
      <c r="G311" s="6">
        <f>IF(AND(E311="",F311=""),"",IF(E311=F311,"agree","DIFFER"))</f>
        <v/>
      </c>
      <c r="H311" s="7" t="n"/>
      <c r="I311" s="6">
        <f>IF(H311&lt;&gt;"",H311,IF(G311="agree",E311,""))</f>
        <v/>
      </c>
    </row>
    <row r="312">
      <c r="A312" s="6" t="inlineStr">
        <is>
          <t>L16</t>
        </is>
      </c>
      <c r="B312" s="6" t="inlineStr">
        <is>
          <t>vague</t>
        </is>
      </c>
      <c r="C312" s="6" t="inlineStr">
        <is>
          <t>Feasibility status</t>
        </is>
      </c>
      <c r="D312" s="6" t="inlineStr"/>
      <c r="E312" s="6">
        <f>IFERROR(INDEX('Annotator A'!$M$5:$M$44,MATCH($A312,'Annotator A'!$A$5:$A$44,0))&amp;"","")</f>
        <v/>
      </c>
      <c r="F312" s="6">
        <f>IFERROR(INDEX('Annotator B'!$M$5:$M$44,MATCH($A312,'Annotator B'!$A$5:$A$44,0))&amp;"","")</f>
        <v/>
      </c>
      <c r="G312" s="6">
        <f>IF(AND(E312="",F312=""),"",IF(E312=F312,"agree","DIFFER"))</f>
        <v/>
      </c>
      <c r="H312" s="7" t="n"/>
      <c r="I312" s="6">
        <f>IF(H312&lt;&gt;"",H312,IF(G312="agree",E312,""))</f>
        <v/>
      </c>
    </row>
    <row r="313">
      <c r="A313" s="6" t="inlineStr">
        <is>
          <t>L16</t>
        </is>
      </c>
      <c r="B313" s="6" t="inlineStr">
        <is>
          <t>vague</t>
        </is>
      </c>
      <c r="C313" s="6" t="inlineStr">
        <is>
          <t>Risk — Technical</t>
        </is>
      </c>
      <c r="D313" s="6" t="inlineStr"/>
      <c r="E313" s="6">
        <f>IFERROR(INDEX('Annotator A'!$N$5:$N$44,MATCH($A313,'Annotator A'!$A$5:$A$44,0))&amp;"","")</f>
        <v/>
      </c>
      <c r="F313" s="6">
        <f>IFERROR(INDEX('Annotator B'!$N$5:$N$44,MATCH($A313,'Annotator B'!$A$5:$A$44,0))&amp;"","")</f>
        <v/>
      </c>
      <c r="G313" s="6">
        <f>IF(AND(E313="",F313=""),"",IF(E313=F313,"agree","DIFFER"))</f>
        <v/>
      </c>
      <c r="H313" s="7" t="n"/>
      <c r="I313" s="6">
        <f>IF(H313&lt;&gt;"",H313,IF(G313="agree",E313,""))</f>
        <v/>
      </c>
    </row>
    <row r="314">
      <c r="A314" s="6" t="inlineStr">
        <is>
          <t>L16</t>
        </is>
      </c>
      <c r="B314" s="6" t="inlineStr">
        <is>
          <t>vague</t>
        </is>
      </c>
      <c r="C314" s="6" t="inlineStr">
        <is>
          <t>Risk — Security</t>
        </is>
      </c>
      <c r="D314" s="6" t="inlineStr"/>
      <c r="E314" s="6">
        <f>IFERROR(INDEX('Annotator A'!$O$5:$O$44,MATCH($A314,'Annotator A'!$A$5:$A$44,0))&amp;"","")</f>
        <v/>
      </c>
      <c r="F314" s="6">
        <f>IFERROR(INDEX('Annotator B'!$O$5:$O$44,MATCH($A314,'Annotator B'!$A$5:$A$44,0))&amp;"","")</f>
        <v/>
      </c>
      <c r="G314" s="6">
        <f>IF(AND(E314="",F314=""),"",IF(E314=F314,"agree","DIFFER"))</f>
        <v/>
      </c>
      <c r="H314" s="7" t="n"/>
      <c r="I314" s="6">
        <f>IF(H314&lt;&gt;"",H314,IF(G314="agree",E314,""))</f>
        <v/>
      </c>
    </row>
    <row r="315">
      <c r="A315" s="6" t="inlineStr">
        <is>
          <t>L16</t>
        </is>
      </c>
      <c r="B315" s="6" t="inlineStr">
        <is>
          <t>vague</t>
        </is>
      </c>
      <c r="C315" s="6" t="inlineStr">
        <is>
          <t>Risk — Privacy</t>
        </is>
      </c>
      <c r="D315" s="6" t="inlineStr"/>
      <c r="E315" s="6">
        <f>IFERROR(INDEX('Annotator A'!$P$5:$P$44,MATCH($A315,'Annotator A'!$A$5:$A$44,0))&amp;"","")</f>
        <v/>
      </c>
      <c r="F315" s="6">
        <f>IFERROR(INDEX('Annotator B'!$P$5:$P$44,MATCH($A315,'Annotator B'!$A$5:$A$44,0))&amp;"","")</f>
        <v/>
      </c>
      <c r="G315" s="6">
        <f>IF(AND(E315="",F315=""),"",IF(E315=F315,"agree","DIFFER"))</f>
        <v/>
      </c>
      <c r="H315" s="7" t="n"/>
      <c r="I315" s="6">
        <f>IF(H315&lt;&gt;"",H315,IF(G315="agree",E315,""))</f>
        <v/>
      </c>
    </row>
    <row r="316">
      <c r="A316" s="6" t="inlineStr">
        <is>
          <t>L16</t>
        </is>
      </c>
      <c r="B316" s="6" t="inlineStr">
        <is>
          <t>vague</t>
        </is>
      </c>
      <c r="C316" s="6" t="inlineStr">
        <is>
          <t>Risk — Compliance</t>
        </is>
      </c>
      <c r="D316" s="6" t="inlineStr"/>
      <c r="E316" s="6">
        <f>IFERROR(INDEX('Annotator A'!$Q$5:$Q$44,MATCH($A316,'Annotator A'!$A$5:$A$44,0))&amp;"","")</f>
        <v/>
      </c>
      <c r="F316" s="6">
        <f>IFERROR(INDEX('Annotator B'!$Q$5:$Q$44,MATCH($A316,'Annotator B'!$A$5:$A$44,0))&amp;"","")</f>
        <v/>
      </c>
      <c r="G316" s="6">
        <f>IF(AND(E316="",F316=""),"",IF(E316=F316,"agree","DIFFER"))</f>
        <v/>
      </c>
      <c r="H316" s="7" t="n"/>
      <c r="I316" s="6">
        <f>IF(H316&lt;&gt;"",H316,IF(G316="agree",E316,""))</f>
        <v/>
      </c>
    </row>
    <row r="317">
      <c r="A317" s="6" t="inlineStr">
        <is>
          <t>L16</t>
        </is>
      </c>
      <c r="B317" s="6" t="inlineStr">
        <is>
          <t>vague</t>
        </is>
      </c>
      <c r="C317" s="6" t="inlineStr">
        <is>
          <t>Risk — Financial</t>
        </is>
      </c>
      <c r="D317" s="6" t="inlineStr"/>
      <c r="E317" s="6">
        <f>IFERROR(INDEX('Annotator A'!$R$5:$R$44,MATCH($A317,'Annotator A'!$A$5:$A$44,0))&amp;"","")</f>
        <v/>
      </c>
      <c r="F317" s="6">
        <f>IFERROR(INDEX('Annotator B'!$R$5:$R$44,MATCH($A317,'Annotator B'!$A$5:$A$44,0))&amp;"","")</f>
        <v/>
      </c>
      <c r="G317" s="6">
        <f>IF(AND(E317="",F317=""),"",IF(E317=F317,"agree","DIFFER"))</f>
        <v/>
      </c>
      <c r="H317" s="7" t="n"/>
      <c r="I317" s="6">
        <f>IF(H317&lt;&gt;"",H317,IF(G317="agree",E317,""))</f>
        <v/>
      </c>
    </row>
    <row r="318">
      <c r="A318" s="6" t="inlineStr">
        <is>
          <t>L16</t>
        </is>
      </c>
      <c r="B318" s="6" t="inlineStr">
        <is>
          <t>vague</t>
        </is>
      </c>
      <c r="C318" s="6" t="inlineStr">
        <is>
          <t>Risk — Operational</t>
        </is>
      </c>
      <c r="D318" s="6" t="inlineStr"/>
      <c r="E318" s="6">
        <f>IFERROR(INDEX('Annotator A'!$S$5:$S$44,MATCH($A318,'Annotator A'!$A$5:$A$44,0))&amp;"","")</f>
        <v/>
      </c>
      <c r="F318" s="6">
        <f>IFERROR(INDEX('Annotator B'!$S$5:$S$44,MATCH($A318,'Annotator B'!$A$5:$A$44,0))&amp;"","")</f>
        <v/>
      </c>
      <c r="G318" s="6">
        <f>IF(AND(E318="",F318=""),"",IF(E318=F318,"agree","DIFFER"))</f>
        <v/>
      </c>
      <c r="H318" s="7" t="n"/>
      <c r="I318" s="6">
        <f>IF(H318&lt;&gt;"",H318,IF(G318="agree",E318,""))</f>
        <v/>
      </c>
    </row>
    <row r="319">
      <c r="A319" s="6" t="inlineStr">
        <is>
          <t>L16</t>
        </is>
      </c>
      <c r="B319" s="6" t="inlineStr">
        <is>
          <t>vague</t>
        </is>
      </c>
      <c r="C319" s="6" t="inlineStr">
        <is>
          <t>Risk — Adoption</t>
        </is>
      </c>
      <c r="D319" s="6" t="inlineStr"/>
      <c r="E319" s="6">
        <f>IFERROR(INDEX('Annotator A'!$T$5:$T$44,MATCH($A319,'Annotator A'!$A$5:$A$44,0))&amp;"","")</f>
        <v/>
      </c>
      <c r="F319" s="6">
        <f>IFERROR(INDEX('Annotator B'!$T$5:$T$44,MATCH($A319,'Annotator B'!$A$5:$A$44,0))&amp;"","")</f>
        <v/>
      </c>
      <c r="G319" s="6">
        <f>IF(AND(E319="",F319=""),"",IF(E319=F319,"agree","DIFFER"))</f>
        <v/>
      </c>
      <c r="H319" s="7" t="n"/>
      <c r="I319" s="6">
        <f>IF(H319&lt;&gt;"",H319,IF(G319="agree",E319,""))</f>
        <v/>
      </c>
    </row>
    <row r="320">
      <c r="A320" s="6" t="inlineStr">
        <is>
          <t>L16</t>
        </is>
      </c>
      <c r="B320" s="6" t="inlineStr">
        <is>
          <t>vague</t>
        </is>
      </c>
      <c r="C320" s="6" t="inlineStr">
        <is>
          <t>Risk — Data</t>
        </is>
      </c>
      <c r="D320" s="6" t="inlineStr"/>
      <c r="E320" s="6">
        <f>IFERROR(INDEX('Annotator A'!$U$5:$U$44,MATCH($A320,'Annotator A'!$A$5:$A$44,0))&amp;"","")</f>
        <v/>
      </c>
      <c r="F320" s="6">
        <f>IFERROR(INDEX('Annotator B'!$U$5:$U$44,MATCH($A320,'Annotator B'!$A$5:$A$44,0))&amp;"","")</f>
        <v/>
      </c>
      <c r="G320" s="6">
        <f>IF(AND(E320="",F320=""),"",IF(E320=F320,"agree","DIFFER"))</f>
        <v/>
      </c>
      <c r="H320" s="7" t="n"/>
      <c r="I320" s="6">
        <f>IF(H320&lt;&gt;"",H320,IF(G320="agree",E320,""))</f>
        <v/>
      </c>
    </row>
    <row r="321">
      <c r="A321" s="6" t="inlineStr">
        <is>
          <t>L16</t>
        </is>
      </c>
      <c r="B321" s="6" t="inlineStr">
        <is>
          <t>vague</t>
        </is>
      </c>
      <c r="C321" s="6" t="inlineStr">
        <is>
          <t>Risk — Vendor</t>
        </is>
      </c>
      <c r="D321" s="6" t="inlineStr"/>
      <c r="E321" s="6">
        <f>IFERROR(INDEX('Annotator A'!$V$5:$V$44,MATCH($A321,'Annotator A'!$A$5:$A$44,0))&amp;"","")</f>
        <v/>
      </c>
      <c r="F321" s="6">
        <f>IFERROR(INDEX('Annotator B'!$V$5:$V$44,MATCH($A321,'Annotator B'!$A$5:$A$44,0))&amp;"","")</f>
        <v/>
      </c>
      <c r="G321" s="6">
        <f>IF(AND(E321="",F321=""),"",IF(E321=F321,"agree","DIFFER"))</f>
        <v/>
      </c>
      <c r="H321" s="7" t="n"/>
      <c r="I321" s="6">
        <f>IF(H321&lt;&gt;"",H321,IF(G321="agree",E321,""))</f>
        <v/>
      </c>
    </row>
    <row r="322">
      <c r="A322" s="6" t="inlineStr">
        <is>
          <t>L17</t>
        </is>
      </c>
      <c r="B322" s="6" t="inlineStr">
        <is>
          <t>near-duplicate</t>
        </is>
      </c>
      <c r="C322" s="6" t="inlineStr">
        <is>
          <t>Use cases</t>
        </is>
      </c>
      <c r="D322" s="6" t="inlineStr">
        <is>
          <t>single status view showing current approver and elapsed time</t>
        </is>
      </c>
      <c r="E322" s="6">
        <f>IFERROR(INDEX('Annotator A'!$C$5:$C$44,MATCH($A322,'Annotator A'!$A$5:$A$44,0))&amp;"","")</f>
        <v/>
      </c>
      <c r="F322" s="6">
        <f>IFERROR(INDEX('Annotator B'!$C$5:$C$44,MATCH($A322,'Annotator B'!$A$5:$A$44,0))&amp;"","")</f>
        <v/>
      </c>
      <c r="G322" s="6" t="inlineStr">
        <is>
          <t>read both</t>
        </is>
      </c>
      <c r="H322" s="7" t="n"/>
      <c r="I322" s="6">
        <f>IF(H322&lt;&gt;"",H322,"")</f>
        <v/>
      </c>
    </row>
    <row r="323">
      <c r="A323" s="6" t="inlineStr">
        <is>
          <t>L17</t>
        </is>
      </c>
      <c r="B323" s="6" t="inlineStr">
        <is>
          <t>near-duplicate</t>
        </is>
      </c>
      <c r="C323" s="6" t="inlineStr">
        <is>
          <t>Value — Business impact</t>
        </is>
      </c>
      <c r="D323" s="6" t="inlineStr"/>
      <c r="E323" s="6">
        <f>IFERROR(INDEX('Annotator A'!$D$5:$D$44,MATCH($A323,'Annotator A'!$A$5:$A$44,0))&amp;"","")</f>
        <v/>
      </c>
      <c r="F323" s="6">
        <f>IFERROR(INDEX('Annotator B'!$D$5:$D$44,MATCH($A323,'Annotator B'!$A$5:$A$44,0))&amp;"","")</f>
        <v/>
      </c>
      <c r="G323" s="6">
        <f>IF(AND(E323="",F323=""),"",IF(E323=F323,"agree","DIFFER"))</f>
        <v/>
      </c>
      <c r="H323" s="7" t="n"/>
      <c r="I323" s="6">
        <f>IF(H323&lt;&gt;"",H323,IF(G323="agree",E323,""))</f>
        <v/>
      </c>
    </row>
    <row r="324">
      <c r="A324" s="6" t="inlineStr">
        <is>
          <t>L17</t>
        </is>
      </c>
      <c r="B324" s="6" t="inlineStr">
        <is>
          <t>near-duplicate</t>
        </is>
      </c>
      <c r="C324" s="6" t="inlineStr">
        <is>
          <t>Value — Productivity</t>
        </is>
      </c>
      <c r="D324" s="6" t="inlineStr"/>
      <c r="E324" s="6">
        <f>IFERROR(INDEX('Annotator A'!$E$5:$E$44,MATCH($A324,'Annotator A'!$A$5:$A$44,0))&amp;"","")</f>
        <v/>
      </c>
      <c r="F324" s="6">
        <f>IFERROR(INDEX('Annotator B'!$E$5:$E$44,MATCH($A324,'Annotator B'!$A$5:$A$44,0))&amp;"","")</f>
        <v/>
      </c>
      <c r="G324" s="6">
        <f>IF(AND(E324="",F324=""),"",IF(E324=F324,"agree","DIFFER"))</f>
        <v/>
      </c>
      <c r="H324" s="7" t="n"/>
      <c r="I324" s="6">
        <f>IF(H324&lt;&gt;"",H324,IF(G324="agree",E324,""))</f>
        <v/>
      </c>
    </row>
    <row r="325">
      <c r="A325" s="6" t="inlineStr">
        <is>
          <t>L17</t>
        </is>
      </c>
      <c r="B325" s="6" t="inlineStr">
        <is>
          <t>near-duplicate</t>
        </is>
      </c>
      <c r="C325" s="6" t="inlineStr">
        <is>
          <t>Value — Cost reduction</t>
        </is>
      </c>
      <c r="D325" s="6" t="inlineStr"/>
      <c r="E325" s="6">
        <f>IFERROR(INDEX('Annotator A'!$F$5:$F$44,MATCH($A325,'Annotator A'!$A$5:$A$44,0))&amp;"","")</f>
        <v/>
      </c>
      <c r="F325" s="6">
        <f>IFERROR(INDEX('Annotator B'!$F$5:$F$44,MATCH($A325,'Annotator B'!$A$5:$A$44,0))&amp;"","")</f>
        <v/>
      </c>
      <c r="G325" s="6">
        <f>IF(AND(E325="",F325=""),"",IF(E325=F325,"agree","DIFFER"))</f>
        <v/>
      </c>
      <c r="H325" s="7" t="n"/>
      <c r="I325" s="6">
        <f>IF(H325&lt;&gt;"",H325,IF(G325="agree",E325,""))</f>
        <v/>
      </c>
    </row>
    <row r="326">
      <c r="A326" s="6" t="inlineStr">
        <is>
          <t>L17</t>
        </is>
      </c>
      <c r="B326" s="6" t="inlineStr">
        <is>
          <t>near-duplicate</t>
        </is>
      </c>
      <c r="C326" s="6" t="inlineStr">
        <is>
          <t>Value — Revenue</t>
        </is>
      </c>
      <c r="D326" s="6" t="inlineStr"/>
      <c r="E326" s="6">
        <f>IFERROR(INDEX('Annotator A'!$G$5:$G$44,MATCH($A326,'Annotator A'!$A$5:$A$44,0))&amp;"","")</f>
        <v/>
      </c>
      <c r="F326" s="6">
        <f>IFERROR(INDEX('Annotator B'!$G$5:$G$44,MATCH($A326,'Annotator B'!$A$5:$A$44,0))&amp;"","")</f>
        <v/>
      </c>
      <c r="G326" s="6">
        <f>IF(AND(E326="",F326=""),"",IF(E326=F326,"agree","DIFFER"))</f>
        <v/>
      </c>
      <c r="H326" s="7" t="n"/>
      <c r="I326" s="6">
        <f>IF(H326&lt;&gt;"",H326,IF(G326="agree",E326,""))</f>
        <v/>
      </c>
    </row>
    <row r="327">
      <c r="A327" s="6" t="inlineStr">
        <is>
          <t>L17</t>
        </is>
      </c>
      <c r="B327" s="6" t="inlineStr">
        <is>
          <t>near-duplicate</t>
        </is>
      </c>
      <c r="C327" s="6" t="inlineStr">
        <is>
          <t>Value — Employee experience</t>
        </is>
      </c>
      <c r="D327" s="6" t="inlineStr"/>
      <c r="E327" s="6">
        <f>IFERROR(INDEX('Annotator A'!$H$5:$H$44,MATCH($A327,'Annotator A'!$A$5:$A$44,0))&amp;"","")</f>
        <v/>
      </c>
      <c r="F327" s="6">
        <f>IFERROR(INDEX('Annotator B'!$H$5:$H$44,MATCH($A327,'Annotator B'!$A$5:$A$44,0))&amp;"","")</f>
        <v/>
      </c>
      <c r="G327" s="6">
        <f>IF(AND(E327="",F327=""),"",IF(E327=F327,"agree","DIFFER"))</f>
        <v/>
      </c>
      <c r="H327" s="7" t="n"/>
      <c r="I327" s="6">
        <f>IF(H327&lt;&gt;"",H327,IF(G327="agree",E327,""))</f>
        <v/>
      </c>
    </row>
    <row r="328">
      <c r="A328" s="6" t="inlineStr">
        <is>
          <t>L17</t>
        </is>
      </c>
      <c r="B328" s="6" t="inlineStr">
        <is>
          <t>near-duplicate</t>
        </is>
      </c>
      <c r="C328" s="6" t="inlineStr">
        <is>
          <t>Value — Customer impact</t>
        </is>
      </c>
      <c r="D328" s="6" t="inlineStr"/>
      <c r="E328" s="6">
        <f>IFERROR(INDEX('Annotator A'!$I$5:$I$44,MATCH($A328,'Annotator A'!$A$5:$A$44,0))&amp;"","")</f>
        <v/>
      </c>
      <c r="F328" s="6">
        <f>IFERROR(INDEX('Annotator B'!$I$5:$I$44,MATCH($A328,'Annotator B'!$A$5:$A$44,0))&amp;"","")</f>
        <v/>
      </c>
      <c r="G328" s="6">
        <f>IF(AND(E328="",F328=""),"",IF(E328=F328,"agree","DIFFER"))</f>
        <v/>
      </c>
      <c r="H328" s="7" t="n"/>
      <c r="I328" s="6">
        <f>IF(H328&lt;&gt;"",H328,IF(G328="agree",E328,""))</f>
        <v/>
      </c>
    </row>
    <row r="329">
      <c r="A329" s="6" t="inlineStr">
        <is>
          <t>L17</t>
        </is>
      </c>
      <c r="B329" s="6" t="inlineStr">
        <is>
          <t>near-duplicate</t>
        </is>
      </c>
      <c r="C329" s="6" t="inlineStr">
        <is>
          <t>Value — Operational</t>
        </is>
      </c>
      <c r="D329" s="6" t="inlineStr">
        <is>
          <t>Moderate</t>
        </is>
      </c>
      <c r="E329" s="6">
        <f>IFERROR(INDEX('Annotator A'!$J$5:$J$44,MATCH($A329,'Annotator A'!$A$5:$A$44,0))&amp;"","")</f>
        <v/>
      </c>
      <c r="F329" s="6">
        <f>IFERROR(INDEX('Annotator B'!$J$5:$J$44,MATCH($A329,'Annotator B'!$A$5:$A$44,0))&amp;"","")</f>
        <v/>
      </c>
      <c r="G329" s="6">
        <f>IF(AND(E329="",F329=""),"",IF(E329=F329,"agree","DIFFER"))</f>
        <v/>
      </c>
      <c r="H329" s="7" t="n"/>
      <c r="I329" s="6">
        <f>IF(H329&lt;&gt;"",H329,IF(G329="agree",E329,""))</f>
        <v/>
      </c>
    </row>
    <row r="330">
      <c r="A330" s="6" t="inlineStr">
        <is>
          <t>L17</t>
        </is>
      </c>
      <c r="B330" s="6" t="inlineStr">
        <is>
          <t>near-duplicate</t>
        </is>
      </c>
      <c r="C330" s="6" t="inlineStr">
        <is>
          <t>Value — Problem severity</t>
        </is>
      </c>
      <c r="D330" s="6" t="inlineStr"/>
      <c r="E330" s="6">
        <f>IFERROR(INDEX('Annotator A'!$K$5:$K$44,MATCH($A330,'Annotator A'!$A$5:$A$44,0))&amp;"","")</f>
        <v/>
      </c>
      <c r="F330" s="6">
        <f>IFERROR(INDEX('Annotator B'!$K$5:$K$44,MATCH($A330,'Annotator B'!$A$5:$A$44,0))&amp;"","")</f>
        <v/>
      </c>
      <c r="G330" s="6">
        <f>IF(AND(E330="",F330=""),"",IF(E330=F330,"agree","DIFFER"))</f>
        <v/>
      </c>
      <c r="H330" s="7" t="n"/>
      <c r="I330" s="6">
        <f>IF(H330&lt;&gt;"",H330,IF(G330="agree",E330,""))</f>
        <v/>
      </c>
    </row>
    <row r="331">
      <c r="A331" s="6" t="inlineStr">
        <is>
          <t>L17</t>
        </is>
      </c>
      <c r="B331" s="6" t="inlineStr">
        <is>
          <t>near-duplicate</t>
        </is>
      </c>
      <c r="C331" s="6" t="inlineStr">
        <is>
          <t>Value — Problem frequency</t>
        </is>
      </c>
      <c r="D331" s="6" t="inlineStr">
        <is>
          <t>High</t>
        </is>
      </c>
      <c r="E331" s="6">
        <f>IFERROR(INDEX('Annotator A'!$L$5:$L$44,MATCH($A331,'Annotator A'!$A$5:$A$44,0))&amp;"","")</f>
        <v/>
      </c>
      <c r="F331" s="6">
        <f>IFERROR(INDEX('Annotator B'!$L$5:$L$44,MATCH($A331,'Annotator B'!$A$5:$A$44,0))&amp;"","")</f>
        <v/>
      </c>
      <c r="G331" s="6">
        <f>IF(AND(E331="",F331=""),"",IF(E331=F331,"agree","DIFFER"))</f>
        <v/>
      </c>
      <c r="H331" s="7" t="n"/>
      <c r="I331" s="6">
        <f>IF(H331&lt;&gt;"",H331,IF(G331="agree",E331,""))</f>
        <v/>
      </c>
    </row>
    <row r="332">
      <c r="A332" s="6" t="inlineStr">
        <is>
          <t>L17</t>
        </is>
      </c>
      <c r="B332" s="6" t="inlineStr">
        <is>
          <t>near-duplicate</t>
        </is>
      </c>
      <c r="C332" s="6" t="inlineStr">
        <is>
          <t>Feasibility status</t>
        </is>
      </c>
      <c r="D332" s="6" t="inlineStr">
        <is>
          <t>FEASIBLE_WITH_CONDITIONS</t>
        </is>
      </c>
      <c r="E332" s="6">
        <f>IFERROR(INDEX('Annotator A'!$M$5:$M$44,MATCH($A332,'Annotator A'!$A$5:$A$44,0))&amp;"","")</f>
        <v/>
      </c>
      <c r="F332" s="6">
        <f>IFERROR(INDEX('Annotator B'!$M$5:$M$44,MATCH($A332,'Annotator B'!$A$5:$A$44,0))&amp;"","")</f>
        <v/>
      </c>
      <c r="G332" s="6">
        <f>IF(AND(E332="",F332=""),"",IF(E332=F332,"agree","DIFFER"))</f>
        <v/>
      </c>
      <c r="H332" s="7" t="n"/>
      <c r="I332" s="6">
        <f>IF(H332&lt;&gt;"",H332,IF(G332="agree",E332,""))</f>
        <v/>
      </c>
    </row>
    <row r="333">
      <c r="A333" s="6" t="inlineStr">
        <is>
          <t>L17</t>
        </is>
      </c>
      <c r="B333" s="6" t="inlineStr">
        <is>
          <t>near-duplicate</t>
        </is>
      </c>
      <c r="C333" s="6" t="inlineStr">
        <is>
          <t>Risk — Technical</t>
        </is>
      </c>
      <c r="D333" s="6" t="inlineStr"/>
      <c r="E333" s="6">
        <f>IFERROR(INDEX('Annotator A'!$N$5:$N$44,MATCH($A333,'Annotator A'!$A$5:$A$44,0))&amp;"","")</f>
        <v/>
      </c>
      <c r="F333" s="6">
        <f>IFERROR(INDEX('Annotator B'!$N$5:$N$44,MATCH($A333,'Annotator B'!$A$5:$A$44,0))&amp;"","")</f>
        <v/>
      </c>
      <c r="G333" s="6">
        <f>IF(AND(E333="",F333=""),"",IF(E333=F333,"agree","DIFFER"))</f>
        <v/>
      </c>
      <c r="H333" s="7" t="n"/>
      <c r="I333" s="6">
        <f>IF(H333&lt;&gt;"",H333,IF(G333="agree",E333,""))</f>
        <v/>
      </c>
    </row>
    <row r="334">
      <c r="A334" s="6" t="inlineStr">
        <is>
          <t>L17</t>
        </is>
      </c>
      <c r="B334" s="6" t="inlineStr">
        <is>
          <t>near-duplicate</t>
        </is>
      </c>
      <c r="C334" s="6" t="inlineStr">
        <is>
          <t>Risk — Security</t>
        </is>
      </c>
      <c r="D334" s="6" t="inlineStr"/>
      <c r="E334" s="6">
        <f>IFERROR(INDEX('Annotator A'!$O$5:$O$44,MATCH($A334,'Annotator A'!$A$5:$A$44,0))&amp;"","")</f>
        <v/>
      </c>
      <c r="F334" s="6">
        <f>IFERROR(INDEX('Annotator B'!$O$5:$O$44,MATCH($A334,'Annotator B'!$A$5:$A$44,0))&amp;"","")</f>
        <v/>
      </c>
      <c r="G334" s="6">
        <f>IF(AND(E334="",F334=""),"",IF(E334=F334,"agree","DIFFER"))</f>
        <v/>
      </c>
      <c r="H334" s="7" t="n"/>
      <c r="I334" s="6">
        <f>IF(H334&lt;&gt;"",H334,IF(G334="agree",E334,""))</f>
        <v/>
      </c>
    </row>
    <row r="335">
      <c r="A335" s="6" t="inlineStr">
        <is>
          <t>L17</t>
        </is>
      </c>
      <c r="B335" s="6" t="inlineStr">
        <is>
          <t>near-duplicate</t>
        </is>
      </c>
      <c r="C335" s="6" t="inlineStr">
        <is>
          <t>Risk — Privacy</t>
        </is>
      </c>
      <c r="D335" s="6" t="inlineStr"/>
      <c r="E335" s="6">
        <f>IFERROR(INDEX('Annotator A'!$P$5:$P$44,MATCH($A335,'Annotator A'!$A$5:$A$44,0))&amp;"","")</f>
        <v/>
      </c>
      <c r="F335" s="6">
        <f>IFERROR(INDEX('Annotator B'!$P$5:$P$44,MATCH($A335,'Annotator B'!$A$5:$A$44,0))&amp;"","")</f>
        <v/>
      </c>
      <c r="G335" s="6">
        <f>IF(AND(E335="",F335=""),"",IF(E335=F335,"agree","DIFFER"))</f>
        <v/>
      </c>
      <c r="H335" s="7" t="n"/>
      <c r="I335" s="6">
        <f>IF(H335&lt;&gt;"",H335,IF(G335="agree",E335,""))</f>
        <v/>
      </c>
    </row>
    <row r="336">
      <c r="A336" s="6" t="inlineStr">
        <is>
          <t>L17</t>
        </is>
      </c>
      <c r="B336" s="6" t="inlineStr">
        <is>
          <t>near-duplicate</t>
        </is>
      </c>
      <c r="C336" s="6" t="inlineStr">
        <is>
          <t>Risk — Compliance</t>
        </is>
      </c>
      <c r="D336" s="6" t="inlineStr"/>
      <c r="E336" s="6">
        <f>IFERROR(INDEX('Annotator A'!$Q$5:$Q$44,MATCH($A336,'Annotator A'!$A$5:$A$44,0))&amp;"","")</f>
        <v/>
      </c>
      <c r="F336" s="6">
        <f>IFERROR(INDEX('Annotator B'!$Q$5:$Q$44,MATCH($A336,'Annotator B'!$A$5:$A$44,0))&amp;"","")</f>
        <v/>
      </c>
      <c r="G336" s="6">
        <f>IF(AND(E336="",F336=""),"",IF(E336=F336,"agree","DIFFER"))</f>
        <v/>
      </c>
      <c r="H336" s="7" t="n"/>
      <c r="I336" s="6">
        <f>IF(H336&lt;&gt;"",H336,IF(G336="agree",E336,""))</f>
        <v/>
      </c>
    </row>
    <row r="337">
      <c r="A337" s="6" t="inlineStr">
        <is>
          <t>L17</t>
        </is>
      </c>
      <c r="B337" s="6" t="inlineStr">
        <is>
          <t>near-duplicate</t>
        </is>
      </c>
      <c r="C337" s="6" t="inlineStr">
        <is>
          <t>Risk — Financial</t>
        </is>
      </c>
      <c r="D337" s="6" t="inlineStr"/>
      <c r="E337" s="6">
        <f>IFERROR(INDEX('Annotator A'!$R$5:$R$44,MATCH($A337,'Annotator A'!$A$5:$A$44,0))&amp;"","")</f>
        <v/>
      </c>
      <c r="F337" s="6">
        <f>IFERROR(INDEX('Annotator B'!$R$5:$R$44,MATCH($A337,'Annotator B'!$A$5:$A$44,0))&amp;"","")</f>
        <v/>
      </c>
      <c r="G337" s="6">
        <f>IF(AND(E337="",F337=""),"",IF(E337=F337,"agree","DIFFER"))</f>
        <v/>
      </c>
      <c r="H337" s="7" t="n"/>
      <c r="I337" s="6">
        <f>IF(H337&lt;&gt;"",H337,IF(G337="agree",E337,""))</f>
        <v/>
      </c>
    </row>
    <row r="338">
      <c r="A338" s="6" t="inlineStr">
        <is>
          <t>L17</t>
        </is>
      </c>
      <c r="B338" s="6" t="inlineStr">
        <is>
          <t>near-duplicate</t>
        </is>
      </c>
      <c r="C338" s="6" t="inlineStr">
        <is>
          <t>Risk — Operational</t>
        </is>
      </c>
      <c r="D338" s="6" t="inlineStr"/>
      <c r="E338" s="6">
        <f>IFERROR(INDEX('Annotator A'!$S$5:$S$44,MATCH($A338,'Annotator A'!$A$5:$A$44,0))&amp;"","")</f>
        <v/>
      </c>
      <c r="F338" s="6">
        <f>IFERROR(INDEX('Annotator B'!$S$5:$S$44,MATCH($A338,'Annotator B'!$A$5:$A$44,0))&amp;"","")</f>
        <v/>
      </c>
      <c r="G338" s="6">
        <f>IF(AND(E338="",F338=""),"",IF(E338=F338,"agree","DIFFER"))</f>
        <v/>
      </c>
      <c r="H338" s="7" t="n"/>
      <c r="I338" s="6">
        <f>IF(H338&lt;&gt;"",H338,IF(G338="agree",E338,""))</f>
        <v/>
      </c>
    </row>
    <row r="339">
      <c r="A339" s="6" t="inlineStr">
        <is>
          <t>L17</t>
        </is>
      </c>
      <c r="B339" s="6" t="inlineStr">
        <is>
          <t>near-duplicate</t>
        </is>
      </c>
      <c r="C339" s="6" t="inlineStr">
        <is>
          <t>Risk — Adoption</t>
        </is>
      </c>
      <c r="D339" s="6" t="inlineStr"/>
      <c r="E339" s="6">
        <f>IFERROR(INDEX('Annotator A'!$T$5:$T$44,MATCH($A339,'Annotator A'!$A$5:$A$44,0))&amp;"","")</f>
        <v/>
      </c>
      <c r="F339" s="6">
        <f>IFERROR(INDEX('Annotator B'!$T$5:$T$44,MATCH($A339,'Annotator B'!$A$5:$A$44,0))&amp;"","")</f>
        <v/>
      </c>
      <c r="G339" s="6">
        <f>IF(AND(E339="",F339=""),"",IF(E339=F339,"agree","DIFFER"))</f>
        <v/>
      </c>
      <c r="H339" s="7" t="n"/>
      <c r="I339" s="6">
        <f>IF(H339&lt;&gt;"",H339,IF(G339="agree",E339,""))</f>
        <v/>
      </c>
    </row>
    <row r="340">
      <c r="A340" s="6" t="inlineStr">
        <is>
          <t>L17</t>
        </is>
      </c>
      <c r="B340" s="6" t="inlineStr">
        <is>
          <t>near-duplicate</t>
        </is>
      </c>
      <c r="C340" s="6" t="inlineStr">
        <is>
          <t>Risk — Data</t>
        </is>
      </c>
      <c r="D340" s="6" t="inlineStr"/>
      <c r="E340" s="6">
        <f>IFERROR(INDEX('Annotator A'!$U$5:$U$44,MATCH($A340,'Annotator A'!$A$5:$A$44,0))&amp;"","")</f>
        <v/>
      </c>
      <c r="F340" s="6">
        <f>IFERROR(INDEX('Annotator B'!$U$5:$U$44,MATCH($A340,'Annotator B'!$A$5:$A$44,0))&amp;"","")</f>
        <v/>
      </c>
      <c r="G340" s="6">
        <f>IF(AND(E340="",F340=""),"",IF(E340=F340,"agree","DIFFER"))</f>
        <v/>
      </c>
      <c r="H340" s="7" t="n"/>
      <c r="I340" s="6">
        <f>IF(H340&lt;&gt;"",H340,IF(G340="agree",E340,""))</f>
        <v/>
      </c>
    </row>
    <row r="341">
      <c r="A341" s="6" t="inlineStr">
        <is>
          <t>L17</t>
        </is>
      </c>
      <c r="B341" s="6" t="inlineStr">
        <is>
          <t>near-duplicate</t>
        </is>
      </c>
      <c r="C341" s="6" t="inlineStr">
        <is>
          <t>Risk — Vendor</t>
        </is>
      </c>
      <c r="D341" s="6" t="inlineStr"/>
      <c r="E341" s="6">
        <f>IFERROR(INDEX('Annotator A'!$V$5:$V$44,MATCH($A341,'Annotator A'!$A$5:$A$44,0))&amp;"","")</f>
        <v/>
      </c>
      <c r="F341" s="6">
        <f>IFERROR(INDEX('Annotator B'!$V$5:$V$44,MATCH($A341,'Annotator B'!$A$5:$A$44,0))&amp;"","")</f>
        <v/>
      </c>
      <c r="G341" s="6">
        <f>IF(AND(E341="",F341=""),"",IF(E341=F341,"agree","DIFFER"))</f>
        <v/>
      </c>
      <c r="H341" s="7" t="n"/>
      <c r="I341" s="6">
        <f>IF(H341&lt;&gt;"",H341,IF(G341="agree",E341,""))</f>
        <v/>
      </c>
    </row>
    <row r="342">
      <c r="A342" s="6" t="inlineStr">
        <is>
          <t>L18</t>
        </is>
      </c>
      <c r="B342" s="6" t="inlineStr">
        <is>
          <t>strong</t>
        </is>
      </c>
      <c r="C342" s="6" t="inlineStr">
        <is>
          <t>Use cases</t>
        </is>
      </c>
      <c r="D342" s="6" t="inlineStr">
        <is>
          <t>extract renewal and notice-period dates from contracts
alert contract owner before notice deadline</t>
        </is>
      </c>
      <c r="E342" s="6">
        <f>IFERROR(INDEX('Annotator A'!$C$5:$C$44,MATCH($A342,'Annotator A'!$A$5:$A$44,0))&amp;"","")</f>
        <v/>
      </c>
      <c r="F342" s="6">
        <f>IFERROR(INDEX('Annotator B'!$C$5:$C$44,MATCH($A342,'Annotator B'!$A$5:$A$44,0))&amp;"","")</f>
        <v/>
      </c>
      <c r="G342" s="6" t="inlineStr">
        <is>
          <t>read both</t>
        </is>
      </c>
      <c r="H342" s="7" t="n"/>
      <c r="I342" s="6">
        <f>IF(H342&lt;&gt;"",H342,"")</f>
        <v/>
      </c>
    </row>
    <row r="343">
      <c r="A343" s="6" t="inlineStr">
        <is>
          <t>L18</t>
        </is>
      </c>
      <c r="B343" s="6" t="inlineStr">
        <is>
          <t>strong</t>
        </is>
      </c>
      <c r="C343" s="6" t="inlineStr">
        <is>
          <t>Value — Business impact</t>
        </is>
      </c>
      <c r="D343" s="6" t="inlineStr">
        <is>
          <t>Moderate</t>
        </is>
      </c>
      <c r="E343" s="6">
        <f>IFERROR(INDEX('Annotator A'!$D$5:$D$44,MATCH($A343,'Annotator A'!$A$5:$A$44,0))&amp;"","")</f>
        <v/>
      </c>
      <c r="F343" s="6">
        <f>IFERROR(INDEX('Annotator B'!$D$5:$D$44,MATCH($A343,'Annotator B'!$A$5:$A$44,0))&amp;"","")</f>
        <v/>
      </c>
      <c r="G343" s="6">
        <f>IF(AND(E343="",F343=""),"",IF(E343=F343,"agree","DIFFER"))</f>
        <v/>
      </c>
      <c r="H343" s="7" t="n"/>
      <c r="I343" s="6">
        <f>IF(H343&lt;&gt;"",H343,IF(G343="agree",E343,""))</f>
        <v/>
      </c>
    </row>
    <row r="344">
      <c r="A344" s="6" t="inlineStr">
        <is>
          <t>L18</t>
        </is>
      </c>
      <c r="B344" s="6" t="inlineStr">
        <is>
          <t>strong</t>
        </is>
      </c>
      <c r="C344" s="6" t="inlineStr">
        <is>
          <t>Value — Productivity</t>
        </is>
      </c>
      <c r="D344" s="6" t="inlineStr"/>
      <c r="E344" s="6">
        <f>IFERROR(INDEX('Annotator A'!$E$5:$E$44,MATCH($A344,'Annotator A'!$A$5:$A$44,0))&amp;"","")</f>
        <v/>
      </c>
      <c r="F344" s="6">
        <f>IFERROR(INDEX('Annotator B'!$E$5:$E$44,MATCH($A344,'Annotator B'!$A$5:$A$44,0))&amp;"","")</f>
        <v/>
      </c>
      <c r="G344" s="6">
        <f>IF(AND(E344="",F344=""),"",IF(E344=F344,"agree","DIFFER"))</f>
        <v/>
      </c>
      <c r="H344" s="7" t="n"/>
      <c r="I344" s="6">
        <f>IF(H344&lt;&gt;"",H344,IF(G344="agree",E344,""))</f>
        <v/>
      </c>
    </row>
    <row r="345">
      <c r="A345" s="6" t="inlineStr">
        <is>
          <t>L18</t>
        </is>
      </c>
      <c r="B345" s="6" t="inlineStr">
        <is>
          <t>strong</t>
        </is>
      </c>
      <c r="C345" s="6" t="inlineStr">
        <is>
          <t>Value — Cost reduction</t>
        </is>
      </c>
      <c r="D345" s="6" t="inlineStr"/>
      <c r="E345" s="6">
        <f>IFERROR(INDEX('Annotator A'!$F$5:$F$44,MATCH($A345,'Annotator A'!$A$5:$A$44,0))&amp;"","")</f>
        <v/>
      </c>
      <c r="F345" s="6">
        <f>IFERROR(INDEX('Annotator B'!$F$5:$F$44,MATCH($A345,'Annotator B'!$A$5:$A$44,0))&amp;"","")</f>
        <v/>
      </c>
      <c r="G345" s="6">
        <f>IF(AND(E345="",F345=""),"",IF(E345=F345,"agree","DIFFER"))</f>
        <v/>
      </c>
      <c r="H345" s="7" t="n"/>
      <c r="I345" s="6">
        <f>IF(H345&lt;&gt;"",H345,IF(G345="agree",E345,""))</f>
        <v/>
      </c>
    </row>
    <row r="346">
      <c r="A346" s="6" t="inlineStr">
        <is>
          <t>L18</t>
        </is>
      </c>
      <c r="B346" s="6" t="inlineStr">
        <is>
          <t>strong</t>
        </is>
      </c>
      <c r="C346" s="6" t="inlineStr">
        <is>
          <t>Value — Revenue</t>
        </is>
      </c>
      <c r="D346" s="6" t="inlineStr"/>
      <c r="E346" s="6">
        <f>IFERROR(INDEX('Annotator A'!$G$5:$G$44,MATCH($A346,'Annotator A'!$A$5:$A$44,0))&amp;"","")</f>
        <v/>
      </c>
      <c r="F346" s="6">
        <f>IFERROR(INDEX('Annotator B'!$G$5:$G$44,MATCH($A346,'Annotator B'!$A$5:$A$44,0))&amp;"","")</f>
        <v/>
      </c>
      <c r="G346" s="6">
        <f>IF(AND(E346="",F346=""),"",IF(E346=F346,"agree","DIFFER"))</f>
        <v/>
      </c>
      <c r="H346" s="7" t="n"/>
      <c r="I346" s="6">
        <f>IF(H346&lt;&gt;"",H346,IF(G346="agree",E346,""))</f>
        <v/>
      </c>
    </row>
    <row r="347">
      <c r="A347" s="6" t="inlineStr">
        <is>
          <t>L18</t>
        </is>
      </c>
      <c r="B347" s="6" t="inlineStr">
        <is>
          <t>strong</t>
        </is>
      </c>
      <c r="C347" s="6" t="inlineStr">
        <is>
          <t>Value — Employee experience</t>
        </is>
      </c>
      <c r="D347" s="6" t="inlineStr"/>
      <c r="E347" s="6">
        <f>IFERROR(INDEX('Annotator A'!$H$5:$H$44,MATCH($A347,'Annotator A'!$A$5:$A$44,0))&amp;"","")</f>
        <v/>
      </c>
      <c r="F347" s="6">
        <f>IFERROR(INDEX('Annotator B'!$H$5:$H$44,MATCH($A347,'Annotator B'!$A$5:$A$44,0))&amp;"","")</f>
        <v/>
      </c>
      <c r="G347" s="6">
        <f>IF(AND(E347="",F347=""),"",IF(E347=F347,"agree","DIFFER"))</f>
        <v/>
      </c>
      <c r="H347" s="7" t="n"/>
      <c r="I347" s="6">
        <f>IF(H347&lt;&gt;"",H347,IF(G347="agree",E347,""))</f>
        <v/>
      </c>
    </row>
    <row r="348">
      <c r="A348" s="6" t="inlineStr">
        <is>
          <t>L18</t>
        </is>
      </c>
      <c r="B348" s="6" t="inlineStr">
        <is>
          <t>strong</t>
        </is>
      </c>
      <c r="C348" s="6" t="inlineStr">
        <is>
          <t>Value — Customer impact</t>
        </is>
      </c>
      <c r="D348" s="6" t="inlineStr"/>
      <c r="E348" s="6">
        <f>IFERROR(INDEX('Annotator A'!$I$5:$I$44,MATCH($A348,'Annotator A'!$A$5:$A$44,0))&amp;"","")</f>
        <v/>
      </c>
      <c r="F348" s="6">
        <f>IFERROR(INDEX('Annotator B'!$I$5:$I$44,MATCH($A348,'Annotator B'!$A$5:$A$44,0))&amp;"","")</f>
        <v/>
      </c>
      <c r="G348" s="6">
        <f>IF(AND(E348="",F348=""),"",IF(E348=F348,"agree","DIFFER"))</f>
        <v/>
      </c>
      <c r="H348" s="7" t="n"/>
      <c r="I348" s="6">
        <f>IF(H348&lt;&gt;"",H348,IF(G348="agree",E348,""))</f>
        <v/>
      </c>
    </row>
    <row r="349">
      <c r="A349" s="6" t="inlineStr">
        <is>
          <t>L18</t>
        </is>
      </c>
      <c r="B349" s="6" t="inlineStr">
        <is>
          <t>strong</t>
        </is>
      </c>
      <c r="C349" s="6" t="inlineStr">
        <is>
          <t>Value — Operational</t>
        </is>
      </c>
      <c r="D349" s="6" t="inlineStr"/>
      <c r="E349" s="6">
        <f>IFERROR(INDEX('Annotator A'!$J$5:$J$44,MATCH($A349,'Annotator A'!$A$5:$A$44,0))&amp;"","")</f>
        <v/>
      </c>
      <c r="F349" s="6">
        <f>IFERROR(INDEX('Annotator B'!$J$5:$J$44,MATCH($A349,'Annotator B'!$A$5:$A$44,0))&amp;"","")</f>
        <v/>
      </c>
      <c r="G349" s="6">
        <f>IF(AND(E349="",F349=""),"",IF(E349=F349,"agree","DIFFER"))</f>
        <v/>
      </c>
      <c r="H349" s="7" t="n"/>
      <c r="I349" s="6">
        <f>IF(H349&lt;&gt;"",H349,IF(G349="agree",E349,""))</f>
        <v/>
      </c>
    </row>
    <row r="350">
      <c r="A350" s="6" t="inlineStr">
        <is>
          <t>L18</t>
        </is>
      </c>
      <c r="B350" s="6" t="inlineStr">
        <is>
          <t>strong</t>
        </is>
      </c>
      <c r="C350" s="6" t="inlineStr">
        <is>
          <t>Value — Problem severity</t>
        </is>
      </c>
      <c r="D350" s="6" t="inlineStr"/>
      <c r="E350" s="6">
        <f>IFERROR(INDEX('Annotator A'!$K$5:$K$44,MATCH($A350,'Annotator A'!$A$5:$A$44,0))&amp;"","")</f>
        <v/>
      </c>
      <c r="F350" s="6">
        <f>IFERROR(INDEX('Annotator B'!$K$5:$K$44,MATCH($A350,'Annotator B'!$A$5:$A$44,0))&amp;"","")</f>
        <v/>
      </c>
      <c r="G350" s="6">
        <f>IF(AND(E350="",F350=""),"",IF(E350=F350,"agree","DIFFER"))</f>
        <v/>
      </c>
      <c r="H350" s="7" t="n"/>
      <c r="I350" s="6">
        <f>IF(H350&lt;&gt;"",H350,IF(G350="agree",E350,""))</f>
        <v/>
      </c>
    </row>
    <row r="351">
      <c r="A351" s="6" t="inlineStr">
        <is>
          <t>L18</t>
        </is>
      </c>
      <c r="B351" s="6" t="inlineStr">
        <is>
          <t>strong</t>
        </is>
      </c>
      <c r="C351" s="6" t="inlineStr">
        <is>
          <t>Value — Problem frequency</t>
        </is>
      </c>
      <c r="D351" s="6" t="inlineStr">
        <is>
          <t>Moderate</t>
        </is>
      </c>
      <c r="E351" s="6">
        <f>IFERROR(INDEX('Annotator A'!$L$5:$L$44,MATCH($A351,'Annotator A'!$A$5:$A$44,0))&amp;"","")</f>
        <v/>
      </c>
      <c r="F351" s="6">
        <f>IFERROR(INDEX('Annotator B'!$L$5:$L$44,MATCH($A351,'Annotator B'!$A$5:$A$44,0))&amp;"","")</f>
        <v/>
      </c>
      <c r="G351" s="6">
        <f>IF(AND(E351="",F351=""),"",IF(E351=F351,"agree","DIFFER"))</f>
        <v/>
      </c>
      <c r="H351" s="7" t="n"/>
      <c r="I351" s="6">
        <f>IF(H351&lt;&gt;"",H351,IF(G351="agree",E351,""))</f>
        <v/>
      </c>
    </row>
    <row r="352">
      <c r="A352" s="6" t="inlineStr">
        <is>
          <t>L18</t>
        </is>
      </c>
      <c r="B352" s="6" t="inlineStr">
        <is>
          <t>strong</t>
        </is>
      </c>
      <c r="C352" s="6" t="inlineStr">
        <is>
          <t>Feasibility status</t>
        </is>
      </c>
      <c r="D352" s="6" t="inlineStr">
        <is>
          <t>FEASIBLE_WITH_CONDITIONS</t>
        </is>
      </c>
      <c r="E352" s="6">
        <f>IFERROR(INDEX('Annotator A'!$M$5:$M$44,MATCH($A352,'Annotator A'!$A$5:$A$44,0))&amp;"","")</f>
        <v/>
      </c>
      <c r="F352" s="6">
        <f>IFERROR(INDEX('Annotator B'!$M$5:$M$44,MATCH($A352,'Annotator B'!$A$5:$A$44,0))&amp;"","")</f>
        <v/>
      </c>
      <c r="G352" s="6">
        <f>IF(AND(E352="",F352=""),"",IF(E352=F352,"agree","DIFFER"))</f>
        <v/>
      </c>
      <c r="H352" s="7" t="n"/>
      <c r="I352" s="6">
        <f>IF(H352&lt;&gt;"",H352,IF(G352="agree",E352,""))</f>
        <v/>
      </c>
    </row>
    <row r="353">
      <c r="A353" s="6" t="inlineStr">
        <is>
          <t>L18</t>
        </is>
      </c>
      <c r="B353" s="6" t="inlineStr">
        <is>
          <t>strong</t>
        </is>
      </c>
      <c r="C353" s="6" t="inlineStr">
        <is>
          <t>Risk — Technical</t>
        </is>
      </c>
      <c r="D353" s="6" t="inlineStr"/>
      <c r="E353" s="6">
        <f>IFERROR(INDEX('Annotator A'!$N$5:$N$44,MATCH($A353,'Annotator A'!$A$5:$A$44,0))&amp;"","")</f>
        <v/>
      </c>
      <c r="F353" s="6">
        <f>IFERROR(INDEX('Annotator B'!$N$5:$N$44,MATCH($A353,'Annotator B'!$A$5:$A$44,0))&amp;"","")</f>
        <v/>
      </c>
      <c r="G353" s="6">
        <f>IF(AND(E353="",F353=""),"",IF(E353=F353,"agree","DIFFER"))</f>
        <v/>
      </c>
      <c r="H353" s="7" t="n"/>
      <c r="I353" s="6">
        <f>IF(H353&lt;&gt;"",H353,IF(G353="agree",E353,""))</f>
        <v/>
      </c>
    </row>
    <row r="354">
      <c r="A354" s="6" t="inlineStr">
        <is>
          <t>L18</t>
        </is>
      </c>
      <c r="B354" s="6" t="inlineStr">
        <is>
          <t>strong</t>
        </is>
      </c>
      <c r="C354" s="6" t="inlineStr">
        <is>
          <t>Risk — Security</t>
        </is>
      </c>
      <c r="D354" s="6" t="inlineStr"/>
      <c r="E354" s="6">
        <f>IFERROR(INDEX('Annotator A'!$O$5:$O$44,MATCH($A354,'Annotator A'!$A$5:$A$44,0))&amp;"","")</f>
        <v/>
      </c>
      <c r="F354" s="6">
        <f>IFERROR(INDEX('Annotator B'!$O$5:$O$44,MATCH($A354,'Annotator B'!$A$5:$A$44,0))&amp;"","")</f>
        <v/>
      </c>
      <c r="G354" s="6">
        <f>IF(AND(E354="",F354=""),"",IF(E354=F354,"agree","DIFFER"))</f>
        <v/>
      </c>
      <c r="H354" s="7" t="n"/>
      <c r="I354" s="6">
        <f>IF(H354&lt;&gt;"",H354,IF(G354="agree",E354,""))</f>
        <v/>
      </c>
    </row>
    <row r="355">
      <c r="A355" s="6" t="inlineStr">
        <is>
          <t>L18</t>
        </is>
      </c>
      <c r="B355" s="6" t="inlineStr">
        <is>
          <t>strong</t>
        </is>
      </c>
      <c r="C355" s="6" t="inlineStr">
        <is>
          <t>Risk — Privacy</t>
        </is>
      </c>
      <c r="D355" s="6" t="inlineStr"/>
      <c r="E355" s="6">
        <f>IFERROR(INDEX('Annotator A'!$P$5:$P$44,MATCH($A355,'Annotator A'!$A$5:$A$44,0))&amp;"","")</f>
        <v/>
      </c>
      <c r="F355" s="6">
        <f>IFERROR(INDEX('Annotator B'!$P$5:$P$44,MATCH($A355,'Annotator B'!$A$5:$A$44,0))&amp;"","")</f>
        <v/>
      </c>
      <c r="G355" s="6">
        <f>IF(AND(E355="",F355=""),"",IF(E355=F355,"agree","DIFFER"))</f>
        <v/>
      </c>
      <c r="H355" s="7" t="n"/>
      <c r="I355" s="6">
        <f>IF(H355&lt;&gt;"",H355,IF(G355="agree",E355,""))</f>
        <v/>
      </c>
    </row>
    <row r="356">
      <c r="A356" s="6" t="inlineStr">
        <is>
          <t>L18</t>
        </is>
      </c>
      <c r="B356" s="6" t="inlineStr">
        <is>
          <t>strong</t>
        </is>
      </c>
      <c r="C356" s="6" t="inlineStr">
        <is>
          <t>Risk — Compliance</t>
        </is>
      </c>
      <c r="D356" s="6" t="inlineStr"/>
      <c r="E356" s="6">
        <f>IFERROR(INDEX('Annotator A'!$Q$5:$Q$44,MATCH($A356,'Annotator A'!$A$5:$A$44,0))&amp;"","")</f>
        <v/>
      </c>
      <c r="F356" s="6">
        <f>IFERROR(INDEX('Annotator B'!$Q$5:$Q$44,MATCH($A356,'Annotator B'!$A$5:$A$44,0))&amp;"","")</f>
        <v/>
      </c>
      <c r="G356" s="6">
        <f>IF(AND(E356="",F356=""),"",IF(E356=F356,"agree","DIFFER"))</f>
        <v/>
      </c>
      <c r="H356" s="7" t="n"/>
      <c r="I356" s="6">
        <f>IF(H356&lt;&gt;"",H356,IF(G356="agree",E356,""))</f>
        <v/>
      </c>
    </row>
    <row r="357">
      <c r="A357" s="6" t="inlineStr">
        <is>
          <t>L18</t>
        </is>
      </c>
      <c r="B357" s="6" t="inlineStr">
        <is>
          <t>strong</t>
        </is>
      </c>
      <c r="C357" s="6" t="inlineStr">
        <is>
          <t>Risk — Financial</t>
        </is>
      </c>
      <c r="D357" s="6" t="inlineStr">
        <is>
          <t>Yes</t>
        </is>
      </c>
      <c r="E357" s="6">
        <f>IFERROR(INDEX('Annotator A'!$R$5:$R$44,MATCH($A357,'Annotator A'!$A$5:$A$44,0))&amp;"","")</f>
        <v/>
      </c>
      <c r="F357" s="6">
        <f>IFERROR(INDEX('Annotator B'!$R$5:$R$44,MATCH($A357,'Annotator B'!$A$5:$A$44,0))&amp;"","")</f>
        <v/>
      </c>
      <c r="G357" s="6">
        <f>IF(AND(E357="",F357=""),"",IF(E357=F357,"agree","DIFFER"))</f>
        <v/>
      </c>
      <c r="H357" s="7" t="n"/>
      <c r="I357" s="6">
        <f>IF(H357&lt;&gt;"",H357,IF(G357="agree",E357,""))</f>
        <v/>
      </c>
    </row>
    <row r="358">
      <c r="A358" s="6" t="inlineStr">
        <is>
          <t>L18</t>
        </is>
      </c>
      <c r="B358" s="6" t="inlineStr">
        <is>
          <t>strong</t>
        </is>
      </c>
      <c r="C358" s="6" t="inlineStr">
        <is>
          <t>Risk — Operational</t>
        </is>
      </c>
      <c r="D358" s="6" t="inlineStr"/>
      <c r="E358" s="6">
        <f>IFERROR(INDEX('Annotator A'!$S$5:$S$44,MATCH($A358,'Annotator A'!$A$5:$A$44,0))&amp;"","")</f>
        <v/>
      </c>
      <c r="F358" s="6">
        <f>IFERROR(INDEX('Annotator B'!$S$5:$S$44,MATCH($A358,'Annotator B'!$A$5:$A$44,0))&amp;"","")</f>
        <v/>
      </c>
      <c r="G358" s="6">
        <f>IF(AND(E358="",F358=""),"",IF(E358=F358,"agree","DIFFER"))</f>
        <v/>
      </c>
      <c r="H358" s="7" t="n"/>
      <c r="I358" s="6">
        <f>IF(H358&lt;&gt;"",H358,IF(G358="agree",E358,""))</f>
        <v/>
      </c>
    </row>
    <row r="359">
      <c r="A359" s="6" t="inlineStr">
        <is>
          <t>L18</t>
        </is>
      </c>
      <c r="B359" s="6" t="inlineStr">
        <is>
          <t>strong</t>
        </is>
      </c>
      <c r="C359" s="6" t="inlineStr">
        <is>
          <t>Risk — Adoption</t>
        </is>
      </c>
      <c r="D359" s="6" t="inlineStr"/>
      <c r="E359" s="6">
        <f>IFERROR(INDEX('Annotator A'!$T$5:$T$44,MATCH($A359,'Annotator A'!$A$5:$A$44,0))&amp;"","")</f>
        <v/>
      </c>
      <c r="F359" s="6">
        <f>IFERROR(INDEX('Annotator B'!$T$5:$T$44,MATCH($A359,'Annotator B'!$A$5:$A$44,0))&amp;"","")</f>
        <v/>
      </c>
      <c r="G359" s="6">
        <f>IF(AND(E359="",F359=""),"",IF(E359=F359,"agree","DIFFER"))</f>
        <v/>
      </c>
      <c r="H359" s="7" t="n"/>
      <c r="I359" s="6">
        <f>IF(H359&lt;&gt;"",H359,IF(G359="agree",E359,""))</f>
        <v/>
      </c>
    </row>
    <row r="360">
      <c r="A360" s="6" t="inlineStr">
        <is>
          <t>L18</t>
        </is>
      </c>
      <c r="B360" s="6" t="inlineStr">
        <is>
          <t>strong</t>
        </is>
      </c>
      <c r="C360" s="6" t="inlineStr">
        <is>
          <t>Risk — Data</t>
        </is>
      </c>
      <c r="D360" s="6" t="inlineStr"/>
      <c r="E360" s="6">
        <f>IFERROR(INDEX('Annotator A'!$U$5:$U$44,MATCH($A360,'Annotator A'!$A$5:$A$44,0))&amp;"","")</f>
        <v/>
      </c>
      <c r="F360" s="6">
        <f>IFERROR(INDEX('Annotator B'!$U$5:$U$44,MATCH($A360,'Annotator B'!$A$5:$A$44,0))&amp;"","")</f>
        <v/>
      </c>
      <c r="G360" s="6">
        <f>IF(AND(E360="",F360=""),"",IF(E360=F360,"agree","DIFFER"))</f>
        <v/>
      </c>
      <c r="H360" s="7" t="n"/>
      <c r="I360" s="6">
        <f>IF(H360&lt;&gt;"",H360,IF(G360="agree",E360,""))</f>
        <v/>
      </c>
    </row>
    <row r="361">
      <c r="A361" s="6" t="inlineStr">
        <is>
          <t>L18</t>
        </is>
      </c>
      <c r="B361" s="6" t="inlineStr">
        <is>
          <t>strong</t>
        </is>
      </c>
      <c r="C361" s="6" t="inlineStr">
        <is>
          <t>Risk — Vendor</t>
        </is>
      </c>
      <c r="D361" s="6" t="inlineStr">
        <is>
          <t>Yes</t>
        </is>
      </c>
      <c r="E361" s="6">
        <f>IFERROR(INDEX('Annotator A'!$V$5:$V$44,MATCH($A361,'Annotator A'!$A$5:$A$44,0))&amp;"","")</f>
        <v/>
      </c>
      <c r="F361" s="6">
        <f>IFERROR(INDEX('Annotator B'!$V$5:$V$44,MATCH($A361,'Annotator B'!$A$5:$A$44,0))&amp;"","")</f>
        <v/>
      </c>
      <c r="G361" s="6">
        <f>IF(AND(E361="",F361=""),"",IF(E361=F361,"agree","DIFFER"))</f>
        <v/>
      </c>
      <c r="H361" s="7" t="n"/>
      <c r="I361" s="6">
        <f>IF(H361&lt;&gt;"",H361,IF(G361="agree",E361,""))</f>
        <v/>
      </c>
    </row>
    <row r="362">
      <c r="A362" s="6" t="inlineStr">
        <is>
          <t>L19</t>
        </is>
      </c>
      <c r="B362" s="6" t="inlineStr">
        <is>
          <t>infeasible</t>
        </is>
      </c>
      <c r="C362" s="6" t="inlineStr">
        <is>
          <t>Use cases</t>
        </is>
      </c>
      <c r="D362" s="6" t="inlineStr"/>
      <c r="E362" s="6">
        <f>IFERROR(INDEX('Annotator A'!$C$5:$C$44,MATCH($A362,'Annotator A'!$A$5:$A$44,0))&amp;"","")</f>
        <v/>
      </c>
      <c r="F362" s="6">
        <f>IFERROR(INDEX('Annotator B'!$C$5:$C$44,MATCH($A362,'Annotator B'!$A$5:$A$44,0))&amp;"","")</f>
        <v/>
      </c>
      <c r="G362" s="6" t="inlineStr">
        <is>
          <t>read both</t>
        </is>
      </c>
      <c r="H362" s="7" t="n"/>
      <c r="I362" s="6">
        <f>IF(H362&lt;&gt;"",H362,"")</f>
        <v/>
      </c>
    </row>
    <row r="363">
      <c r="A363" s="6" t="inlineStr">
        <is>
          <t>L19</t>
        </is>
      </c>
      <c r="B363" s="6" t="inlineStr">
        <is>
          <t>infeasible</t>
        </is>
      </c>
      <c r="C363" s="6" t="inlineStr">
        <is>
          <t>Value — Business impact</t>
        </is>
      </c>
      <c r="D363" s="6" t="inlineStr"/>
      <c r="E363" s="6">
        <f>IFERROR(INDEX('Annotator A'!$D$5:$D$44,MATCH($A363,'Annotator A'!$A$5:$A$44,0))&amp;"","")</f>
        <v/>
      </c>
      <c r="F363" s="6">
        <f>IFERROR(INDEX('Annotator B'!$D$5:$D$44,MATCH($A363,'Annotator B'!$A$5:$A$44,0))&amp;"","")</f>
        <v/>
      </c>
      <c r="G363" s="6">
        <f>IF(AND(E363="",F363=""),"",IF(E363=F363,"agree","DIFFER"))</f>
        <v/>
      </c>
      <c r="H363" s="7" t="n"/>
      <c r="I363" s="6">
        <f>IF(H363&lt;&gt;"",H363,IF(G363="agree",E363,""))</f>
        <v/>
      </c>
    </row>
    <row r="364">
      <c r="A364" s="6" t="inlineStr">
        <is>
          <t>L19</t>
        </is>
      </c>
      <c r="B364" s="6" t="inlineStr">
        <is>
          <t>infeasible</t>
        </is>
      </c>
      <c r="C364" s="6" t="inlineStr">
        <is>
          <t>Value — Productivity</t>
        </is>
      </c>
      <c r="D364" s="6" t="inlineStr"/>
      <c r="E364" s="6">
        <f>IFERROR(INDEX('Annotator A'!$E$5:$E$44,MATCH($A364,'Annotator A'!$A$5:$A$44,0))&amp;"","")</f>
        <v/>
      </c>
      <c r="F364" s="6">
        <f>IFERROR(INDEX('Annotator B'!$E$5:$E$44,MATCH($A364,'Annotator B'!$A$5:$A$44,0))&amp;"","")</f>
        <v/>
      </c>
      <c r="G364" s="6">
        <f>IF(AND(E364="",F364=""),"",IF(E364=F364,"agree","DIFFER"))</f>
        <v/>
      </c>
      <c r="H364" s="7" t="n"/>
      <c r="I364" s="6">
        <f>IF(H364&lt;&gt;"",H364,IF(G364="agree",E364,""))</f>
        <v/>
      </c>
    </row>
    <row r="365">
      <c r="A365" s="6" t="inlineStr">
        <is>
          <t>L19</t>
        </is>
      </c>
      <c r="B365" s="6" t="inlineStr">
        <is>
          <t>infeasible</t>
        </is>
      </c>
      <c r="C365" s="6" t="inlineStr">
        <is>
          <t>Value — Cost reduction</t>
        </is>
      </c>
      <c r="D365" s="6" t="inlineStr"/>
      <c r="E365" s="6">
        <f>IFERROR(INDEX('Annotator A'!$F$5:$F$44,MATCH($A365,'Annotator A'!$A$5:$A$44,0))&amp;"","")</f>
        <v/>
      </c>
      <c r="F365" s="6">
        <f>IFERROR(INDEX('Annotator B'!$F$5:$F$44,MATCH($A365,'Annotator B'!$A$5:$A$44,0))&amp;"","")</f>
        <v/>
      </c>
      <c r="G365" s="6">
        <f>IF(AND(E365="",F365=""),"",IF(E365=F365,"agree","DIFFER"))</f>
        <v/>
      </c>
      <c r="H365" s="7" t="n"/>
      <c r="I365" s="6">
        <f>IF(H365&lt;&gt;"",H365,IF(G365="agree",E365,""))</f>
        <v/>
      </c>
    </row>
    <row r="366">
      <c r="A366" s="6" t="inlineStr">
        <is>
          <t>L19</t>
        </is>
      </c>
      <c r="B366" s="6" t="inlineStr">
        <is>
          <t>infeasible</t>
        </is>
      </c>
      <c r="C366" s="6" t="inlineStr">
        <is>
          <t>Value — Revenue</t>
        </is>
      </c>
      <c r="D366" s="6" t="inlineStr"/>
      <c r="E366" s="6">
        <f>IFERROR(INDEX('Annotator A'!$G$5:$G$44,MATCH($A366,'Annotator A'!$A$5:$A$44,0))&amp;"","")</f>
        <v/>
      </c>
      <c r="F366" s="6">
        <f>IFERROR(INDEX('Annotator B'!$G$5:$G$44,MATCH($A366,'Annotator B'!$A$5:$A$44,0))&amp;"","")</f>
        <v/>
      </c>
      <c r="G366" s="6">
        <f>IF(AND(E366="",F366=""),"",IF(E366=F366,"agree","DIFFER"))</f>
        <v/>
      </c>
      <c r="H366" s="7" t="n"/>
      <c r="I366" s="6">
        <f>IF(H366&lt;&gt;"",H366,IF(G366="agree",E366,""))</f>
        <v/>
      </c>
    </row>
    <row r="367">
      <c r="A367" s="6" t="inlineStr">
        <is>
          <t>L19</t>
        </is>
      </c>
      <c r="B367" s="6" t="inlineStr">
        <is>
          <t>infeasible</t>
        </is>
      </c>
      <c r="C367" s="6" t="inlineStr">
        <is>
          <t>Value — Employee experience</t>
        </is>
      </c>
      <c r="D367" s="6" t="inlineStr"/>
      <c r="E367" s="6">
        <f>IFERROR(INDEX('Annotator A'!$H$5:$H$44,MATCH($A367,'Annotator A'!$A$5:$A$44,0))&amp;"","")</f>
        <v/>
      </c>
      <c r="F367" s="6">
        <f>IFERROR(INDEX('Annotator B'!$H$5:$H$44,MATCH($A367,'Annotator B'!$A$5:$A$44,0))&amp;"","")</f>
        <v/>
      </c>
      <c r="G367" s="6">
        <f>IF(AND(E367="",F367=""),"",IF(E367=F367,"agree","DIFFER"))</f>
        <v/>
      </c>
      <c r="H367" s="7" t="n"/>
      <c r="I367" s="6">
        <f>IF(H367&lt;&gt;"",H367,IF(G367="agree",E367,""))</f>
        <v/>
      </c>
    </row>
    <row r="368">
      <c r="A368" s="6" t="inlineStr">
        <is>
          <t>L19</t>
        </is>
      </c>
      <c r="B368" s="6" t="inlineStr">
        <is>
          <t>infeasible</t>
        </is>
      </c>
      <c r="C368" s="6" t="inlineStr">
        <is>
          <t>Value — Customer impact</t>
        </is>
      </c>
      <c r="D368" s="6" t="inlineStr"/>
      <c r="E368" s="6">
        <f>IFERROR(INDEX('Annotator A'!$I$5:$I$44,MATCH($A368,'Annotator A'!$A$5:$A$44,0))&amp;"","")</f>
        <v/>
      </c>
      <c r="F368" s="6">
        <f>IFERROR(INDEX('Annotator B'!$I$5:$I$44,MATCH($A368,'Annotator B'!$A$5:$A$44,0))&amp;"","")</f>
        <v/>
      </c>
      <c r="G368" s="6">
        <f>IF(AND(E368="",F368=""),"",IF(E368=F368,"agree","DIFFER"))</f>
        <v/>
      </c>
      <c r="H368" s="7" t="n"/>
      <c r="I368" s="6">
        <f>IF(H368&lt;&gt;"",H368,IF(G368="agree",E368,""))</f>
        <v/>
      </c>
    </row>
    <row r="369">
      <c r="A369" s="6" t="inlineStr">
        <is>
          <t>L19</t>
        </is>
      </c>
      <c r="B369" s="6" t="inlineStr">
        <is>
          <t>infeasible</t>
        </is>
      </c>
      <c r="C369" s="6" t="inlineStr">
        <is>
          <t>Value — Operational</t>
        </is>
      </c>
      <c r="D369" s="6" t="inlineStr"/>
      <c r="E369" s="6">
        <f>IFERROR(INDEX('Annotator A'!$J$5:$J$44,MATCH($A369,'Annotator A'!$A$5:$A$44,0))&amp;"","")</f>
        <v/>
      </c>
      <c r="F369" s="6">
        <f>IFERROR(INDEX('Annotator B'!$J$5:$J$44,MATCH($A369,'Annotator B'!$A$5:$A$44,0))&amp;"","")</f>
        <v/>
      </c>
      <c r="G369" s="6">
        <f>IF(AND(E369="",F369=""),"",IF(E369=F369,"agree","DIFFER"))</f>
        <v/>
      </c>
      <c r="H369" s="7" t="n"/>
      <c r="I369" s="6">
        <f>IF(H369&lt;&gt;"",H369,IF(G369="agree",E369,""))</f>
        <v/>
      </c>
    </row>
    <row r="370">
      <c r="A370" s="6" t="inlineStr">
        <is>
          <t>L19</t>
        </is>
      </c>
      <c r="B370" s="6" t="inlineStr">
        <is>
          <t>infeasible</t>
        </is>
      </c>
      <c r="C370" s="6" t="inlineStr">
        <is>
          <t>Value — Problem severity</t>
        </is>
      </c>
      <c r="D370" s="6" t="inlineStr"/>
      <c r="E370" s="6">
        <f>IFERROR(INDEX('Annotator A'!$K$5:$K$44,MATCH($A370,'Annotator A'!$A$5:$A$44,0))&amp;"","")</f>
        <v/>
      </c>
      <c r="F370" s="6">
        <f>IFERROR(INDEX('Annotator B'!$K$5:$K$44,MATCH($A370,'Annotator B'!$A$5:$A$44,0))&amp;"","")</f>
        <v/>
      </c>
      <c r="G370" s="6">
        <f>IF(AND(E370="",F370=""),"",IF(E370=F370,"agree","DIFFER"))</f>
        <v/>
      </c>
      <c r="H370" s="7" t="n"/>
      <c r="I370" s="6">
        <f>IF(H370&lt;&gt;"",H370,IF(G370="agree",E370,""))</f>
        <v/>
      </c>
    </row>
    <row r="371">
      <c r="A371" s="6" t="inlineStr">
        <is>
          <t>L19</t>
        </is>
      </c>
      <c r="B371" s="6" t="inlineStr">
        <is>
          <t>infeasible</t>
        </is>
      </c>
      <c r="C371" s="6" t="inlineStr">
        <is>
          <t>Value — Problem frequency</t>
        </is>
      </c>
      <c r="D371" s="6" t="inlineStr"/>
      <c r="E371" s="6">
        <f>IFERROR(INDEX('Annotator A'!$L$5:$L$44,MATCH($A371,'Annotator A'!$A$5:$A$44,0))&amp;"","")</f>
        <v/>
      </c>
      <c r="F371" s="6">
        <f>IFERROR(INDEX('Annotator B'!$L$5:$L$44,MATCH($A371,'Annotator B'!$A$5:$A$44,0))&amp;"","")</f>
        <v/>
      </c>
      <c r="G371" s="6">
        <f>IF(AND(E371="",F371=""),"",IF(E371=F371,"agree","DIFFER"))</f>
        <v/>
      </c>
      <c r="H371" s="7" t="n"/>
      <c r="I371" s="6">
        <f>IF(H371&lt;&gt;"",H371,IF(G371="agree",E371,""))</f>
        <v/>
      </c>
    </row>
    <row r="372">
      <c r="A372" s="6" t="inlineStr">
        <is>
          <t>L19</t>
        </is>
      </c>
      <c r="B372" s="6" t="inlineStr">
        <is>
          <t>infeasible</t>
        </is>
      </c>
      <c r="C372" s="6" t="inlineStr">
        <is>
          <t>Feasibility status</t>
        </is>
      </c>
      <c r="D372" s="6" t="inlineStr">
        <is>
          <t>NOT_CURRENTLY_FEASIBLE</t>
        </is>
      </c>
      <c r="E372" s="6">
        <f>IFERROR(INDEX('Annotator A'!$M$5:$M$44,MATCH($A372,'Annotator A'!$A$5:$A$44,0))&amp;"","")</f>
        <v/>
      </c>
      <c r="F372" s="6">
        <f>IFERROR(INDEX('Annotator B'!$M$5:$M$44,MATCH($A372,'Annotator B'!$A$5:$A$44,0))&amp;"","")</f>
        <v/>
      </c>
      <c r="G372" s="6">
        <f>IF(AND(E372="",F372=""),"",IF(E372=F372,"agree","DIFFER"))</f>
        <v/>
      </c>
      <c r="H372" s="7" t="n"/>
      <c r="I372" s="6">
        <f>IF(H372&lt;&gt;"",H372,IF(G372="agree",E372,""))</f>
        <v/>
      </c>
    </row>
    <row r="373">
      <c r="A373" s="6" t="inlineStr">
        <is>
          <t>L19</t>
        </is>
      </c>
      <c r="B373" s="6" t="inlineStr">
        <is>
          <t>infeasible</t>
        </is>
      </c>
      <c r="C373" s="6" t="inlineStr">
        <is>
          <t>Risk — Technical</t>
        </is>
      </c>
      <c r="D373" s="6" t="inlineStr"/>
      <c r="E373" s="6">
        <f>IFERROR(INDEX('Annotator A'!$N$5:$N$44,MATCH($A373,'Annotator A'!$A$5:$A$44,0))&amp;"","")</f>
        <v/>
      </c>
      <c r="F373" s="6">
        <f>IFERROR(INDEX('Annotator B'!$N$5:$N$44,MATCH($A373,'Annotator B'!$A$5:$A$44,0))&amp;"","")</f>
        <v/>
      </c>
      <c r="G373" s="6">
        <f>IF(AND(E373="",F373=""),"",IF(E373=F373,"agree","DIFFER"))</f>
        <v/>
      </c>
      <c r="H373" s="7" t="n"/>
      <c r="I373" s="6">
        <f>IF(H373&lt;&gt;"",H373,IF(G373="agree",E373,""))</f>
        <v/>
      </c>
    </row>
    <row r="374">
      <c r="A374" s="6" t="inlineStr">
        <is>
          <t>L19</t>
        </is>
      </c>
      <c r="B374" s="6" t="inlineStr">
        <is>
          <t>infeasible</t>
        </is>
      </c>
      <c r="C374" s="6" t="inlineStr">
        <is>
          <t>Risk — Security</t>
        </is>
      </c>
      <c r="D374" s="6" t="inlineStr"/>
      <c r="E374" s="6">
        <f>IFERROR(INDEX('Annotator A'!$O$5:$O$44,MATCH($A374,'Annotator A'!$A$5:$A$44,0))&amp;"","")</f>
        <v/>
      </c>
      <c r="F374" s="6">
        <f>IFERROR(INDEX('Annotator B'!$O$5:$O$44,MATCH($A374,'Annotator B'!$A$5:$A$44,0))&amp;"","")</f>
        <v/>
      </c>
      <c r="G374" s="6">
        <f>IF(AND(E374="",F374=""),"",IF(E374=F374,"agree","DIFFER"))</f>
        <v/>
      </c>
      <c r="H374" s="7" t="n"/>
      <c r="I374" s="6">
        <f>IF(H374&lt;&gt;"",H374,IF(G374="agree",E374,""))</f>
        <v/>
      </c>
    </row>
    <row r="375">
      <c r="A375" s="6" t="inlineStr">
        <is>
          <t>L19</t>
        </is>
      </c>
      <c r="B375" s="6" t="inlineStr">
        <is>
          <t>infeasible</t>
        </is>
      </c>
      <c r="C375" s="6" t="inlineStr">
        <is>
          <t>Risk — Privacy</t>
        </is>
      </c>
      <c r="D375" s="6" t="inlineStr">
        <is>
          <t>Yes</t>
        </is>
      </c>
      <c r="E375" s="6">
        <f>IFERROR(INDEX('Annotator A'!$P$5:$P$44,MATCH($A375,'Annotator A'!$A$5:$A$44,0))&amp;"","")</f>
        <v/>
      </c>
      <c r="F375" s="6">
        <f>IFERROR(INDEX('Annotator B'!$P$5:$P$44,MATCH($A375,'Annotator B'!$A$5:$A$44,0))&amp;"","")</f>
        <v/>
      </c>
      <c r="G375" s="6">
        <f>IF(AND(E375="",F375=""),"",IF(E375=F375,"agree","DIFFER"))</f>
        <v/>
      </c>
      <c r="H375" s="7" t="n"/>
      <c r="I375" s="6">
        <f>IF(H375&lt;&gt;"",H375,IF(G375="agree",E375,""))</f>
        <v/>
      </c>
    </row>
    <row r="376">
      <c r="A376" s="6" t="inlineStr">
        <is>
          <t>L19</t>
        </is>
      </c>
      <c r="B376" s="6" t="inlineStr">
        <is>
          <t>infeasible</t>
        </is>
      </c>
      <c r="C376" s="6" t="inlineStr">
        <is>
          <t>Risk — Compliance</t>
        </is>
      </c>
      <c r="D376" s="6" t="inlineStr">
        <is>
          <t>Yes</t>
        </is>
      </c>
      <c r="E376" s="6">
        <f>IFERROR(INDEX('Annotator A'!$Q$5:$Q$44,MATCH($A376,'Annotator A'!$A$5:$A$44,0))&amp;"","")</f>
        <v/>
      </c>
      <c r="F376" s="6">
        <f>IFERROR(INDEX('Annotator B'!$Q$5:$Q$44,MATCH($A376,'Annotator B'!$A$5:$A$44,0))&amp;"","")</f>
        <v/>
      </c>
      <c r="G376" s="6">
        <f>IF(AND(E376="",F376=""),"",IF(E376=F376,"agree","DIFFER"))</f>
        <v/>
      </c>
      <c r="H376" s="7" t="n"/>
      <c r="I376" s="6">
        <f>IF(H376&lt;&gt;"",H376,IF(G376="agree",E376,""))</f>
        <v/>
      </c>
    </row>
    <row r="377">
      <c r="A377" s="6" t="inlineStr">
        <is>
          <t>L19</t>
        </is>
      </c>
      <c r="B377" s="6" t="inlineStr">
        <is>
          <t>infeasible</t>
        </is>
      </c>
      <c r="C377" s="6" t="inlineStr">
        <is>
          <t>Risk — Financial</t>
        </is>
      </c>
      <c r="D377" s="6" t="inlineStr"/>
      <c r="E377" s="6">
        <f>IFERROR(INDEX('Annotator A'!$R$5:$R$44,MATCH($A377,'Annotator A'!$A$5:$A$44,0))&amp;"","")</f>
        <v/>
      </c>
      <c r="F377" s="6">
        <f>IFERROR(INDEX('Annotator B'!$R$5:$R$44,MATCH($A377,'Annotator B'!$A$5:$A$44,0))&amp;"","")</f>
        <v/>
      </c>
      <c r="G377" s="6">
        <f>IF(AND(E377="",F377=""),"",IF(E377=F377,"agree","DIFFER"))</f>
        <v/>
      </c>
      <c r="H377" s="7" t="n"/>
      <c r="I377" s="6">
        <f>IF(H377&lt;&gt;"",H377,IF(G377="agree",E377,""))</f>
        <v/>
      </c>
    </row>
    <row r="378">
      <c r="A378" s="6" t="inlineStr">
        <is>
          <t>L19</t>
        </is>
      </c>
      <c r="B378" s="6" t="inlineStr">
        <is>
          <t>infeasible</t>
        </is>
      </c>
      <c r="C378" s="6" t="inlineStr">
        <is>
          <t>Risk — Operational</t>
        </is>
      </c>
      <c r="D378" s="6" t="inlineStr"/>
      <c r="E378" s="6">
        <f>IFERROR(INDEX('Annotator A'!$S$5:$S$44,MATCH($A378,'Annotator A'!$A$5:$A$44,0))&amp;"","")</f>
        <v/>
      </c>
      <c r="F378" s="6">
        <f>IFERROR(INDEX('Annotator B'!$S$5:$S$44,MATCH($A378,'Annotator B'!$A$5:$A$44,0))&amp;"","")</f>
        <v/>
      </c>
      <c r="G378" s="6">
        <f>IF(AND(E378="",F378=""),"",IF(E378=F378,"agree","DIFFER"))</f>
        <v/>
      </c>
      <c r="H378" s="7" t="n"/>
      <c r="I378" s="6">
        <f>IF(H378&lt;&gt;"",H378,IF(G378="agree",E378,""))</f>
        <v/>
      </c>
    </row>
    <row r="379">
      <c r="A379" s="6" t="inlineStr">
        <is>
          <t>L19</t>
        </is>
      </c>
      <c r="B379" s="6" t="inlineStr">
        <is>
          <t>infeasible</t>
        </is>
      </c>
      <c r="C379" s="6" t="inlineStr">
        <is>
          <t>Risk — Adoption</t>
        </is>
      </c>
      <c r="D379" s="6" t="inlineStr">
        <is>
          <t>Yes</t>
        </is>
      </c>
      <c r="E379" s="6">
        <f>IFERROR(INDEX('Annotator A'!$T$5:$T$44,MATCH($A379,'Annotator A'!$A$5:$A$44,0))&amp;"","")</f>
        <v/>
      </c>
      <c r="F379" s="6">
        <f>IFERROR(INDEX('Annotator B'!$T$5:$T$44,MATCH($A379,'Annotator B'!$A$5:$A$44,0))&amp;"","")</f>
        <v/>
      </c>
      <c r="G379" s="6">
        <f>IF(AND(E379="",F379=""),"",IF(E379=F379,"agree","DIFFER"))</f>
        <v/>
      </c>
      <c r="H379" s="7" t="n"/>
      <c r="I379" s="6">
        <f>IF(H379&lt;&gt;"",H379,IF(G379="agree",E379,""))</f>
        <v/>
      </c>
    </row>
    <row r="380">
      <c r="A380" s="6" t="inlineStr">
        <is>
          <t>L19</t>
        </is>
      </c>
      <c r="B380" s="6" t="inlineStr">
        <is>
          <t>infeasible</t>
        </is>
      </c>
      <c r="C380" s="6" t="inlineStr">
        <is>
          <t>Risk — Data</t>
        </is>
      </c>
      <c r="D380" s="6" t="inlineStr"/>
      <c r="E380" s="6">
        <f>IFERROR(INDEX('Annotator A'!$U$5:$U$44,MATCH($A380,'Annotator A'!$A$5:$A$44,0))&amp;"","")</f>
        <v/>
      </c>
      <c r="F380" s="6">
        <f>IFERROR(INDEX('Annotator B'!$U$5:$U$44,MATCH($A380,'Annotator B'!$A$5:$A$44,0))&amp;"","")</f>
        <v/>
      </c>
      <c r="G380" s="6">
        <f>IF(AND(E380="",F380=""),"",IF(E380=F380,"agree","DIFFER"))</f>
        <v/>
      </c>
      <c r="H380" s="7" t="n"/>
      <c r="I380" s="6">
        <f>IF(H380&lt;&gt;"",H380,IF(G380="agree",E380,""))</f>
        <v/>
      </c>
    </row>
    <row r="381">
      <c r="A381" s="6" t="inlineStr">
        <is>
          <t>L19</t>
        </is>
      </c>
      <c r="B381" s="6" t="inlineStr">
        <is>
          <t>infeasible</t>
        </is>
      </c>
      <c r="C381" s="6" t="inlineStr">
        <is>
          <t>Risk — Vendor</t>
        </is>
      </c>
      <c r="D381" s="6" t="inlineStr"/>
      <c r="E381" s="6">
        <f>IFERROR(INDEX('Annotator A'!$V$5:$V$44,MATCH($A381,'Annotator A'!$A$5:$A$44,0))&amp;"","")</f>
        <v/>
      </c>
      <c r="F381" s="6">
        <f>IFERROR(INDEX('Annotator B'!$V$5:$V$44,MATCH($A381,'Annotator B'!$A$5:$A$44,0))&amp;"","")</f>
        <v/>
      </c>
      <c r="G381" s="6">
        <f>IF(AND(E381="",F381=""),"",IF(E381=F381,"agree","DIFFER"))</f>
        <v/>
      </c>
      <c r="H381" s="7" t="n"/>
      <c r="I381" s="6">
        <f>IF(H381&lt;&gt;"",H381,IF(G381="agree",E381,""))</f>
        <v/>
      </c>
    </row>
    <row r="382">
      <c r="A382" s="6" t="inlineStr">
        <is>
          <t>L20</t>
        </is>
      </c>
      <c r="B382" s="6" t="inlineStr">
        <is>
          <t>infeasible</t>
        </is>
      </c>
      <c r="C382" s="6" t="inlineStr">
        <is>
          <t>Use cases</t>
        </is>
      </c>
      <c r="D382" s="6" t="inlineStr"/>
      <c r="E382" s="6">
        <f>IFERROR(INDEX('Annotator A'!$C$5:$C$44,MATCH($A382,'Annotator A'!$A$5:$A$44,0))&amp;"","")</f>
        <v/>
      </c>
      <c r="F382" s="6">
        <f>IFERROR(INDEX('Annotator B'!$C$5:$C$44,MATCH($A382,'Annotator B'!$A$5:$A$44,0))&amp;"","")</f>
        <v/>
      </c>
      <c r="G382" s="6" t="inlineStr">
        <is>
          <t>read both</t>
        </is>
      </c>
      <c r="H382" s="7" t="n"/>
      <c r="I382" s="6">
        <f>IF(H382&lt;&gt;"",H382,"")</f>
        <v/>
      </c>
    </row>
    <row r="383">
      <c r="A383" s="6" t="inlineStr">
        <is>
          <t>L20</t>
        </is>
      </c>
      <c r="B383" s="6" t="inlineStr">
        <is>
          <t>infeasible</t>
        </is>
      </c>
      <c r="C383" s="6" t="inlineStr">
        <is>
          <t>Value — Business impact</t>
        </is>
      </c>
      <c r="D383" s="6" t="inlineStr"/>
      <c r="E383" s="6">
        <f>IFERROR(INDEX('Annotator A'!$D$5:$D$44,MATCH($A383,'Annotator A'!$A$5:$A$44,0))&amp;"","")</f>
        <v/>
      </c>
      <c r="F383" s="6">
        <f>IFERROR(INDEX('Annotator B'!$D$5:$D$44,MATCH($A383,'Annotator B'!$A$5:$A$44,0))&amp;"","")</f>
        <v/>
      </c>
      <c r="G383" s="6">
        <f>IF(AND(E383="",F383=""),"",IF(E383=F383,"agree","DIFFER"))</f>
        <v/>
      </c>
      <c r="H383" s="7" t="n"/>
      <c r="I383" s="6">
        <f>IF(H383&lt;&gt;"",H383,IF(G383="agree",E383,""))</f>
        <v/>
      </c>
    </row>
    <row r="384">
      <c r="A384" s="6" t="inlineStr">
        <is>
          <t>L20</t>
        </is>
      </c>
      <c r="B384" s="6" t="inlineStr">
        <is>
          <t>infeasible</t>
        </is>
      </c>
      <c r="C384" s="6" t="inlineStr">
        <is>
          <t>Value — Productivity</t>
        </is>
      </c>
      <c r="D384" s="6" t="inlineStr"/>
      <c r="E384" s="6">
        <f>IFERROR(INDEX('Annotator A'!$E$5:$E$44,MATCH($A384,'Annotator A'!$A$5:$A$44,0))&amp;"","")</f>
        <v/>
      </c>
      <c r="F384" s="6">
        <f>IFERROR(INDEX('Annotator B'!$E$5:$E$44,MATCH($A384,'Annotator B'!$A$5:$A$44,0))&amp;"","")</f>
        <v/>
      </c>
      <c r="G384" s="6">
        <f>IF(AND(E384="",F384=""),"",IF(E384=F384,"agree","DIFFER"))</f>
        <v/>
      </c>
      <c r="H384" s="7" t="n"/>
      <c r="I384" s="6">
        <f>IF(H384&lt;&gt;"",H384,IF(G384="agree",E384,""))</f>
        <v/>
      </c>
    </row>
    <row r="385">
      <c r="A385" s="6" t="inlineStr">
        <is>
          <t>L20</t>
        </is>
      </c>
      <c r="B385" s="6" t="inlineStr">
        <is>
          <t>infeasible</t>
        </is>
      </c>
      <c r="C385" s="6" t="inlineStr">
        <is>
          <t>Value — Cost reduction</t>
        </is>
      </c>
      <c r="D385" s="6" t="inlineStr"/>
      <c r="E385" s="6">
        <f>IFERROR(INDEX('Annotator A'!$F$5:$F$44,MATCH($A385,'Annotator A'!$A$5:$A$44,0))&amp;"","")</f>
        <v/>
      </c>
      <c r="F385" s="6">
        <f>IFERROR(INDEX('Annotator B'!$F$5:$F$44,MATCH($A385,'Annotator B'!$A$5:$A$44,0))&amp;"","")</f>
        <v/>
      </c>
      <c r="G385" s="6">
        <f>IF(AND(E385="",F385=""),"",IF(E385=F385,"agree","DIFFER"))</f>
        <v/>
      </c>
      <c r="H385" s="7" t="n"/>
      <c r="I385" s="6">
        <f>IF(H385&lt;&gt;"",H385,IF(G385="agree",E385,""))</f>
        <v/>
      </c>
    </row>
    <row r="386">
      <c r="A386" s="6" t="inlineStr">
        <is>
          <t>L20</t>
        </is>
      </c>
      <c r="B386" s="6" t="inlineStr">
        <is>
          <t>infeasible</t>
        </is>
      </c>
      <c r="C386" s="6" t="inlineStr">
        <is>
          <t>Value — Revenue</t>
        </is>
      </c>
      <c r="D386" s="6" t="inlineStr"/>
      <c r="E386" s="6">
        <f>IFERROR(INDEX('Annotator A'!$G$5:$G$44,MATCH($A386,'Annotator A'!$A$5:$A$44,0))&amp;"","")</f>
        <v/>
      </c>
      <c r="F386" s="6">
        <f>IFERROR(INDEX('Annotator B'!$G$5:$G$44,MATCH($A386,'Annotator B'!$A$5:$A$44,0))&amp;"","")</f>
        <v/>
      </c>
      <c r="G386" s="6">
        <f>IF(AND(E386="",F386=""),"",IF(E386=F386,"agree","DIFFER"))</f>
        <v/>
      </c>
      <c r="H386" s="7" t="n"/>
      <c r="I386" s="6">
        <f>IF(H386&lt;&gt;"",H386,IF(G386="agree",E386,""))</f>
        <v/>
      </c>
    </row>
    <row r="387">
      <c r="A387" s="6" t="inlineStr">
        <is>
          <t>L20</t>
        </is>
      </c>
      <c r="B387" s="6" t="inlineStr">
        <is>
          <t>infeasible</t>
        </is>
      </c>
      <c r="C387" s="6" t="inlineStr">
        <is>
          <t>Value — Employee experience</t>
        </is>
      </c>
      <c r="D387" s="6" t="inlineStr"/>
      <c r="E387" s="6">
        <f>IFERROR(INDEX('Annotator A'!$H$5:$H$44,MATCH($A387,'Annotator A'!$A$5:$A$44,0))&amp;"","")</f>
        <v/>
      </c>
      <c r="F387" s="6">
        <f>IFERROR(INDEX('Annotator B'!$H$5:$H$44,MATCH($A387,'Annotator B'!$A$5:$A$44,0))&amp;"","")</f>
        <v/>
      </c>
      <c r="G387" s="6">
        <f>IF(AND(E387="",F387=""),"",IF(E387=F387,"agree","DIFFER"))</f>
        <v/>
      </c>
      <c r="H387" s="7" t="n"/>
      <c r="I387" s="6">
        <f>IF(H387&lt;&gt;"",H387,IF(G387="agree",E387,""))</f>
        <v/>
      </c>
    </row>
    <row r="388">
      <c r="A388" s="6" t="inlineStr">
        <is>
          <t>L20</t>
        </is>
      </c>
      <c r="B388" s="6" t="inlineStr">
        <is>
          <t>infeasible</t>
        </is>
      </c>
      <c r="C388" s="6" t="inlineStr">
        <is>
          <t>Value — Customer impact</t>
        </is>
      </c>
      <c r="D388" s="6" t="inlineStr"/>
      <c r="E388" s="6">
        <f>IFERROR(INDEX('Annotator A'!$I$5:$I$44,MATCH($A388,'Annotator A'!$A$5:$A$44,0))&amp;"","")</f>
        <v/>
      </c>
      <c r="F388" s="6">
        <f>IFERROR(INDEX('Annotator B'!$I$5:$I$44,MATCH($A388,'Annotator B'!$A$5:$A$44,0))&amp;"","")</f>
        <v/>
      </c>
      <c r="G388" s="6">
        <f>IF(AND(E388="",F388=""),"",IF(E388=F388,"agree","DIFFER"))</f>
        <v/>
      </c>
      <c r="H388" s="7" t="n"/>
      <c r="I388" s="6">
        <f>IF(H388&lt;&gt;"",H388,IF(G388="agree",E388,""))</f>
        <v/>
      </c>
    </row>
    <row r="389">
      <c r="A389" s="6" t="inlineStr">
        <is>
          <t>L20</t>
        </is>
      </c>
      <c r="B389" s="6" t="inlineStr">
        <is>
          <t>infeasible</t>
        </is>
      </c>
      <c r="C389" s="6" t="inlineStr">
        <is>
          <t>Value — Operational</t>
        </is>
      </c>
      <c r="D389" s="6" t="inlineStr"/>
      <c r="E389" s="6">
        <f>IFERROR(INDEX('Annotator A'!$J$5:$J$44,MATCH($A389,'Annotator A'!$A$5:$A$44,0))&amp;"","")</f>
        <v/>
      </c>
      <c r="F389" s="6">
        <f>IFERROR(INDEX('Annotator B'!$J$5:$J$44,MATCH($A389,'Annotator B'!$A$5:$A$44,0))&amp;"","")</f>
        <v/>
      </c>
      <c r="G389" s="6">
        <f>IF(AND(E389="",F389=""),"",IF(E389=F389,"agree","DIFFER"))</f>
        <v/>
      </c>
      <c r="H389" s="7" t="n"/>
      <c r="I389" s="6">
        <f>IF(H389&lt;&gt;"",H389,IF(G389="agree",E389,""))</f>
        <v/>
      </c>
    </row>
    <row r="390">
      <c r="A390" s="6" t="inlineStr">
        <is>
          <t>L20</t>
        </is>
      </c>
      <c r="B390" s="6" t="inlineStr">
        <is>
          <t>infeasible</t>
        </is>
      </c>
      <c r="C390" s="6" t="inlineStr">
        <is>
          <t>Value — Problem severity</t>
        </is>
      </c>
      <c r="D390" s="6" t="inlineStr"/>
      <c r="E390" s="6">
        <f>IFERROR(INDEX('Annotator A'!$K$5:$K$44,MATCH($A390,'Annotator A'!$A$5:$A$44,0))&amp;"","")</f>
        <v/>
      </c>
      <c r="F390" s="6">
        <f>IFERROR(INDEX('Annotator B'!$K$5:$K$44,MATCH($A390,'Annotator B'!$A$5:$A$44,0))&amp;"","")</f>
        <v/>
      </c>
      <c r="G390" s="6">
        <f>IF(AND(E390="",F390=""),"",IF(E390=F390,"agree","DIFFER"))</f>
        <v/>
      </c>
      <c r="H390" s="7" t="n"/>
      <c r="I390" s="6">
        <f>IF(H390&lt;&gt;"",H390,IF(G390="agree",E390,""))</f>
        <v/>
      </c>
    </row>
    <row r="391">
      <c r="A391" s="6" t="inlineStr">
        <is>
          <t>L20</t>
        </is>
      </c>
      <c r="B391" s="6" t="inlineStr">
        <is>
          <t>infeasible</t>
        </is>
      </c>
      <c r="C391" s="6" t="inlineStr">
        <is>
          <t>Value — Problem frequency</t>
        </is>
      </c>
      <c r="D391" s="6" t="inlineStr"/>
      <c r="E391" s="6">
        <f>IFERROR(INDEX('Annotator A'!$L$5:$L$44,MATCH($A391,'Annotator A'!$A$5:$A$44,0))&amp;"","")</f>
        <v/>
      </c>
      <c r="F391" s="6">
        <f>IFERROR(INDEX('Annotator B'!$L$5:$L$44,MATCH($A391,'Annotator B'!$A$5:$A$44,0))&amp;"","")</f>
        <v/>
      </c>
      <c r="G391" s="6">
        <f>IF(AND(E391="",F391=""),"",IF(E391=F391,"agree","DIFFER"))</f>
        <v/>
      </c>
      <c r="H391" s="7" t="n"/>
      <c r="I391" s="6">
        <f>IF(H391&lt;&gt;"",H391,IF(G391="agree",E391,""))</f>
        <v/>
      </c>
    </row>
    <row r="392">
      <c r="A392" s="6" t="inlineStr">
        <is>
          <t>L20</t>
        </is>
      </c>
      <c r="B392" s="6" t="inlineStr">
        <is>
          <t>infeasible</t>
        </is>
      </c>
      <c r="C392" s="6" t="inlineStr">
        <is>
          <t>Feasibility status</t>
        </is>
      </c>
      <c r="D392" s="6" t="inlineStr">
        <is>
          <t>NOT_CURRENTLY_FEASIBLE</t>
        </is>
      </c>
      <c r="E392" s="6">
        <f>IFERROR(INDEX('Annotator A'!$M$5:$M$44,MATCH($A392,'Annotator A'!$A$5:$A$44,0))&amp;"","")</f>
        <v/>
      </c>
      <c r="F392" s="6">
        <f>IFERROR(INDEX('Annotator B'!$M$5:$M$44,MATCH($A392,'Annotator B'!$A$5:$A$44,0))&amp;"","")</f>
        <v/>
      </c>
      <c r="G392" s="6">
        <f>IF(AND(E392="",F392=""),"",IF(E392=F392,"agree","DIFFER"))</f>
        <v/>
      </c>
      <c r="H392" s="7" t="n"/>
      <c r="I392" s="6">
        <f>IF(H392&lt;&gt;"",H392,IF(G392="agree",E392,""))</f>
        <v/>
      </c>
    </row>
    <row r="393">
      <c r="A393" s="6" t="inlineStr">
        <is>
          <t>L20</t>
        </is>
      </c>
      <c r="B393" s="6" t="inlineStr">
        <is>
          <t>infeasible</t>
        </is>
      </c>
      <c r="C393" s="6" t="inlineStr">
        <is>
          <t>Risk — Technical</t>
        </is>
      </c>
      <c r="D393" s="6" t="inlineStr"/>
      <c r="E393" s="6">
        <f>IFERROR(INDEX('Annotator A'!$N$5:$N$44,MATCH($A393,'Annotator A'!$A$5:$A$44,0))&amp;"","")</f>
        <v/>
      </c>
      <c r="F393" s="6">
        <f>IFERROR(INDEX('Annotator B'!$N$5:$N$44,MATCH($A393,'Annotator B'!$A$5:$A$44,0))&amp;"","")</f>
        <v/>
      </c>
      <c r="G393" s="6">
        <f>IF(AND(E393="",F393=""),"",IF(E393=F393,"agree","DIFFER"))</f>
        <v/>
      </c>
      <c r="H393" s="7" t="n"/>
      <c r="I393" s="6">
        <f>IF(H393&lt;&gt;"",H393,IF(G393="agree",E393,""))</f>
        <v/>
      </c>
    </row>
    <row r="394">
      <c r="A394" s="6" t="inlineStr">
        <is>
          <t>L20</t>
        </is>
      </c>
      <c r="B394" s="6" t="inlineStr">
        <is>
          <t>infeasible</t>
        </is>
      </c>
      <c r="C394" s="6" t="inlineStr">
        <is>
          <t>Risk — Security</t>
        </is>
      </c>
      <c r="D394" s="6" t="inlineStr"/>
      <c r="E394" s="6">
        <f>IFERROR(INDEX('Annotator A'!$O$5:$O$44,MATCH($A394,'Annotator A'!$A$5:$A$44,0))&amp;"","")</f>
        <v/>
      </c>
      <c r="F394" s="6">
        <f>IFERROR(INDEX('Annotator B'!$O$5:$O$44,MATCH($A394,'Annotator B'!$A$5:$A$44,0))&amp;"","")</f>
        <v/>
      </c>
      <c r="G394" s="6">
        <f>IF(AND(E394="",F394=""),"",IF(E394=F394,"agree","DIFFER"))</f>
        <v/>
      </c>
      <c r="H394" s="7" t="n"/>
      <c r="I394" s="6">
        <f>IF(H394&lt;&gt;"",H394,IF(G394="agree",E394,""))</f>
        <v/>
      </c>
    </row>
    <row r="395">
      <c r="A395" s="6" t="inlineStr">
        <is>
          <t>L20</t>
        </is>
      </c>
      <c r="B395" s="6" t="inlineStr">
        <is>
          <t>infeasible</t>
        </is>
      </c>
      <c r="C395" s="6" t="inlineStr">
        <is>
          <t>Risk — Privacy</t>
        </is>
      </c>
      <c r="D395" s="6" t="inlineStr">
        <is>
          <t>Yes</t>
        </is>
      </c>
      <c r="E395" s="6">
        <f>IFERROR(INDEX('Annotator A'!$P$5:$P$44,MATCH($A395,'Annotator A'!$A$5:$A$44,0))&amp;"","")</f>
        <v/>
      </c>
      <c r="F395" s="6">
        <f>IFERROR(INDEX('Annotator B'!$P$5:$P$44,MATCH($A395,'Annotator B'!$A$5:$A$44,0))&amp;"","")</f>
        <v/>
      </c>
      <c r="G395" s="6">
        <f>IF(AND(E395="",F395=""),"",IF(E395=F395,"agree","DIFFER"))</f>
        <v/>
      </c>
      <c r="H395" s="7" t="n"/>
      <c r="I395" s="6">
        <f>IF(H395&lt;&gt;"",H395,IF(G395="agree",E395,""))</f>
        <v/>
      </c>
    </row>
    <row r="396">
      <c r="A396" s="6" t="inlineStr">
        <is>
          <t>L20</t>
        </is>
      </c>
      <c r="B396" s="6" t="inlineStr">
        <is>
          <t>infeasible</t>
        </is>
      </c>
      <c r="C396" s="6" t="inlineStr">
        <is>
          <t>Risk — Compliance</t>
        </is>
      </c>
      <c r="D396" s="6" t="inlineStr">
        <is>
          <t>Yes</t>
        </is>
      </c>
      <c r="E396" s="6">
        <f>IFERROR(INDEX('Annotator A'!$Q$5:$Q$44,MATCH($A396,'Annotator A'!$A$5:$A$44,0))&amp;"","")</f>
        <v/>
      </c>
      <c r="F396" s="6">
        <f>IFERROR(INDEX('Annotator B'!$Q$5:$Q$44,MATCH($A396,'Annotator B'!$A$5:$A$44,0))&amp;"","")</f>
        <v/>
      </c>
      <c r="G396" s="6">
        <f>IF(AND(E396="",F396=""),"",IF(E396=F396,"agree","DIFFER"))</f>
        <v/>
      </c>
      <c r="H396" s="7" t="n"/>
      <c r="I396" s="6">
        <f>IF(H396&lt;&gt;"",H396,IF(G396="agree",E396,""))</f>
        <v/>
      </c>
    </row>
    <row r="397">
      <c r="A397" s="6" t="inlineStr">
        <is>
          <t>L20</t>
        </is>
      </c>
      <c r="B397" s="6" t="inlineStr">
        <is>
          <t>infeasible</t>
        </is>
      </c>
      <c r="C397" s="6" t="inlineStr">
        <is>
          <t>Risk — Financial</t>
        </is>
      </c>
      <c r="D397" s="6" t="inlineStr"/>
      <c r="E397" s="6">
        <f>IFERROR(INDEX('Annotator A'!$R$5:$R$44,MATCH($A397,'Annotator A'!$A$5:$A$44,0))&amp;"","")</f>
        <v/>
      </c>
      <c r="F397" s="6">
        <f>IFERROR(INDEX('Annotator B'!$R$5:$R$44,MATCH($A397,'Annotator B'!$A$5:$A$44,0))&amp;"","")</f>
        <v/>
      </c>
      <c r="G397" s="6">
        <f>IF(AND(E397="",F397=""),"",IF(E397=F397,"agree","DIFFER"))</f>
        <v/>
      </c>
      <c r="H397" s="7" t="n"/>
      <c r="I397" s="6">
        <f>IF(H397&lt;&gt;"",H397,IF(G397="agree",E397,""))</f>
        <v/>
      </c>
    </row>
    <row r="398">
      <c r="A398" s="6" t="inlineStr">
        <is>
          <t>L20</t>
        </is>
      </c>
      <c r="B398" s="6" t="inlineStr">
        <is>
          <t>infeasible</t>
        </is>
      </c>
      <c r="C398" s="6" t="inlineStr">
        <is>
          <t>Risk — Operational</t>
        </is>
      </c>
      <c r="D398" s="6" t="inlineStr"/>
      <c r="E398" s="6">
        <f>IFERROR(INDEX('Annotator A'!$S$5:$S$44,MATCH($A398,'Annotator A'!$A$5:$A$44,0))&amp;"","")</f>
        <v/>
      </c>
      <c r="F398" s="6">
        <f>IFERROR(INDEX('Annotator B'!$S$5:$S$44,MATCH($A398,'Annotator B'!$A$5:$A$44,0))&amp;"","")</f>
        <v/>
      </c>
      <c r="G398" s="6">
        <f>IF(AND(E398="",F398=""),"",IF(E398=F398,"agree","DIFFER"))</f>
        <v/>
      </c>
      <c r="H398" s="7" t="n"/>
      <c r="I398" s="6">
        <f>IF(H398&lt;&gt;"",H398,IF(G398="agree",E398,""))</f>
        <v/>
      </c>
    </row>
    <row r="399">
      <c r="A399" s="6" t="inlineStr">
        <is>
          <t>L20</t>
        </is>
      </c>
      <c r="B399" s="6" t="inlineStr">
        <is>
          <t>infeasible</t>
        </is>
      </c>
      <c r="C399" s="6" t="inlineStr">
        <is>
          <t>Risk — Adoption</t>
        </is>
      </c>
      <c r="D399" s="6" t="inlineStr">
        <is>
          <t>Yes</t>
        </is>
      </c>
      <c r="E399" s="6">
        <f>IFERROR(INDEX('Annotator A'!$T$5:$T$44,MATCH($A399,'Annotator A'!$A$5:$A$44,0))&amp;"","")</f>
        <v/>
      </c>
      <c r="F399" s="6">
        <f>IFERROR(INDEX('Annotator B'!$T$5:$T$44,MATCH($A399,'Annotator B'!$A$5:$A$44,0))&amp;"","")</f>
        <v/>
      </c>
      <c r="G399" s="6">
        <f>IF(AND(E399="",F399=""),"",IF(E399=F399,"agree","DIFFER"))</f>
        <v/>
      </c>
      <c r="H399" s="7" t="n"/>
      <c r="I399" s="6">
        <f>IF(H399&lt;&gt;"",H399,IF(G399="agree",E399,""))</f>
        <v/>
      </c>
    </row>
    <row r="400">
      <c r="A400" s="6" t="inlineStr">
        <is>
          <t>L20</t>
        </is>
      </c>
      <c r="B400" s="6" t="inlineStr">
        <is>
          <t>infeasible</t>
        </is>
      </c>
      <c r="C400" s="6" t="inlineStr">
        <is>
          <t>Risk — Data</t>
        </is>
      </c>
      <c r="D400" s="6" t="inlineStr"/>
      <c r="E400" s="6">
        <f>IFERROR(INDEX('Annotator A'!$U$5:$U$44,MATCH($A400,'Annotator A'!$A$5:$A$44,0))&amp;"","")</f>
        <v/>
      </c>
      <c r="F400" s="6">
        <f>IFERROR(INDEX('Annotator B'!$U$5:$U$44,MATCH($A400,'Annotator B'!$A$5:$A$44,0))&amp;"","")</f>
        <v/>
      </c>
      <c r="G400" s="6">
        <f>IF(AND(E400="",F400=""),"",IF(E400=F400,"agree","DIFFER"))</f>
        <v/>
      </c>
      <c r="H400" s="7" t="n"/>
      <c r="I400" s="6">
        <f>IF(H400&lt;&gt;"",H400,IF(G400="agree",E400,""))</f>
        <v/>
      </c>
    </row>
    <row r="401">
      <c r="A401" s="6" t="inlineStr">
        <is>
          <t>L20</t>
        </is>
      </c>
      <c r="B401" s="6" t="inlineStr">
        <is>
          <t>infeasible</t>
        </is>
      </c>
      <c r="C401" s="6" t="inlineStr">
        <is>
          <t>Risk — Vendor</t>
        </is>
      </c>
      <c r="D401" s="6" t="inlineStr"/>
      <c r="E401" s="6">
        <f>IFERROR(INDEX('Annotator A'!$V$5:$V$44,MATCH($A401,'Annotator A'!$A$5:$A$44,0))&amp;"","")</f>
        <v/>
      </c>
      <c r="F401" s="6">
        <f>IFERROR(INDEX('Annotator B'!$V$5:$V$44,MATCH($A401,'Annotator B'!$A$5:$A$44,0))&amp;"","")</f>
        <v/>
      </c>
      <c r="G401" s="6">
        <f>IF(AND(E401="",F401=""),"",IF(E401=F401,"agree","DIFFER"))</f>
        <v/>
      </c>
      <c r="H401" s="7" t="n"/>
      <c r="I401" s="6">
        <f>IF(H401&lt;&gt;"",H401,IF(G401="agree",E401,""))</f>
        <v/>
      </c>
    </row>
    <row r="402">
      <c r="A402" s="6" t="inlineStr">
        <is>
          <t>L21</t>
        </is>
      </c>
      <c r="B402" s="6" t="inlineStr">
        <is>
          <t>strong</t>
        </is>
      </c>
      <c r="C402" s="6" t="inlineStr">
        <is>
          <t>Use cases</t>
        </is>
      </c>
      <c r="D402" s="6" t="inlineStr">
        <is>
          <t>calculate real-time leave balance by contract type and country
validate a leave request against the balance before approval</t>
        </is>
      </c>
      <c r="E402" s="6">
        <f>IFERROR(INDEX('Annotator A'!$C$5:$C$44,MATCH($A402,'Annotator A'!$A$5:$A$44,0))&amp;"","")</f>
        <v/>
      </c>
      <c r="F402" s="6">
        <f>IFERROR(INDEX('Annotator B'!$C$5:$C$44,MATCH($A402,'Annotator B'!$A$5:$A$44,0))&amp;"","")</f>
        <v/>
      </c>
      <c r="G402" s="6" t="inlineStr">
        <is>
          <t>read both</t>
        </is>
      </c>
      <c r="H402" s="7" t="n"/>
      <c r="I402" s="6">
        <f>IF(H402&lt;&gt;"",H402,"")</f>
        <v/>
      </c>
    </row>
    <row r="403">
      <c r="A403" s="6" t="inlineStr">
        <is>
          <t>L21</t>
        </is>
      </c>
      <c r="B403" s="6" t="inlineStr">
        <is>
          <t>strong</t>
        </is>
      </c>
      <c r="C403" s="6" t="inlineStr">
        <is>
          <t>Value — Business impact</t>
        </is>
      </c>
      <c r="D403" s="6" t="inlineStr"/>
      <c r="E403" s="6">
        <f>IFERROR(INDEX('Annotator A'!$D$5:$D$44,MATCH($A403,'Annotator A'!$A$5:$A$44,0))&amp;"","")</f>
        <v/>
      </c>
      <c r="F403" s="6">
        <f>IFERROR(INDEX('Annotator B'!$D$5:$D$44,MATCH($A403,'Annotator B'!$A$5:$A$44,0))&amp;"","")</f>
        <v/>
      </c>
      <c r="G403" s="6">
        <f>IF(AND(E403="",F403=""),"",IF(E403=F403,"agree","DIFFER"))</f>
        <v/>
      </c>
      <c r="H403" s="7" t="n"/>
      <c r="I403" s="6">
        <f>IF(H403&lt;&gt;"",H403,IF(G403="agree",E403,""))</f>
        <v/>
      </c>
    </row>
    <row r="404">
      <c r="A404" s="6" t="inlineStr">
        <is>
          <t>L21</t>
        </is>
      </c>
      <c r="B404" s="6" t="inlineStr">
        <is>
          <t>strong</t>
        </is>
      </c>
      <c r="C404" s="6" t="inlineStr">
        <is>
          <t>Value — Productivity</t>
        </is>
      </c>
      <c r="D404" s="6" t="inlineStr"/>
      <c r="E404" s="6">
        <f>IFERROR(INDEX('Annotator A'!$E$5:$E$44,MATCH($A404,'Annotator A'!$A$5:$A$44,0))&amp;"","")</f>
        <v/>
      </c>
      <c r="F404" s="6">
        <f>IFERROR(INDEX('Annotator B'!$E$5:$E$44,MATCH($A404,'Annotator B'!$A$5:$A$44,0))&amp;"","")</f>
        <v/>
      </c>
      <c r="G404" s="6">
        <f>IF(AND(E404="",F404=""),"",IF(E404=F404,"agree","DIFFER"))</f>
        <v/>
      </c>
      <c r="H404" s="7" t="n"/>
      <c r="I404" s="6">
        <f>IF(H404&lt;&gt;"",H404,IF(G404="agree",E404,""))</f>
        <v/>
      </c>
    </row>
    <row r="405">
      <c r="A405" s="6" t="inlineStr">
        <is>
          <t>L21</t>
        </is>
      </c>
      <c r="B405" s="6" t="inlineStr">
        <is>
          <t>strong</t>
        </is>
      </c>
      <c r="C405" s="6" t="inlineStr">
        <is>
          <t>Value — Cost reduction</t>
        </is>
      </c>
      <c r="D405" s="6" t="inlineStr"/>
      <c r="E405" s="6">
        <f>IFERROR(INDEX('Annotator A'!$F$5:$F$44,MATCH($A405,'Annotator A'!$A$5:$A$44,0))&amp;"","")</f>
        <v/>
      </c>
      <c r="F405" s="6">
        <f>IFERROR(INDEX('Annotator B'!$F$5:$F$44,MATCH($A405,'Annotator B'!$A$5:$A$44,0))&amp;"","")</f>
        <v/>
      </c>
      <c r="G405" s="6">
        <f>IF(AND(E405="",F405=""),"",IF(E405=F405,"agree","DIFFER"))</f>
        <v/>
      </c>
      <c r="H405" s="7" t="n"/>
      <c r="I405" s="6">
        <f>IF(H405&lt;&gt;"",H405,IF(G405="agree",E405,""))</f>
        <v/>
      </c>
    </row>
    <row r="406">
      <c r="A406" s="6" t="inlineStr">
        <is>
          <t>L21</t>
        </is>
      </c>
      <c r="B406" s="6" t="inlineStr">
        <is>
          <t>strong</t>
        </is>
      </c>
      <c r="C406" s="6" t="inlineStr">
        <is>
          <t>Value — Revenue</t>
        </is>
      </c>
      <c r="D406" s="6" t="inlineStr"/>
      <c r="E406" s="6">
        <f>IFERROR(INDEX('Annotator A'!$G$5:$G$44,MATCH($A406,'Annotator A'!$A$5:$A$44,0))&amp;"","")</f>
        <v/>
      </c>
      <c r="F406" s="6">
        <f>IFERROR(INDEX('Annotator B'!$G$5:$G$44,MATCH($A406,'Annotator B'!$A$5:$A$44,0))&amp;"","")</f>
        <v/>
      </c>
      <c r="G406" s="6">
        <f>IF(AND(E406="",F406=""),"",IF(E406=F406,"agree","DIFFER"))</f>
        <v/>
      </c>
      <c r="H406" s="7" t="n"/>
      <c r="I406" s="6">
        <f>IF(H406&lt;&gt;"",H406,IF(G406="agree",E406,""))</f>
        <v/>
      </c>
    </row>
    <row r="407">
      <c r="A407" s="6" t="inlineStr">
        <is>
          <t>L21</t>
        </is>
      </c>
      <c r="B407" s="6" t="inlineStr">
        <is>
          <t>strong</t>
        </is>
      </c>
      <c r="C407" s="6" t="inlineStr">
        <is>
          <t>Value — Employee experience</t>
        </is>
      </c>
      <c r="D407" s="6" t="inlineStr">
        <is>
          <t>High</t>
        </is>
      </c>
      <c r="E407" s="6">
        <f>IFERROR(INDEX('Annotator A'!$H$5:$H$44,MATCH($A407,'Annotator A'!$A$5:$A$44,0))&amp;"","")</f>
        <v/>
      </c>
      <c r="F407" s="6">
        <f>IFERROR(INDEX('Annotator B'!$H$5:$H$44,MATCH($A407,'Annotator B'!$A$5:$A$44,0))&amp;"","")</f>
        <v/>
      </c>
      <c r="G407" s="6">
        <f>IF(AND(E407="",F407=""),"",IF(E407=F407,"agree","DIFFER"))</f>
        <v/>
      </c>
      <c r="H407" s="7" t="n"/>
      <c r="I407" s="6">
        <f>IF(H407&lt;&gt;"",H407,IF(G407="agree",E407,""))</f>
        <v/>
      </c>
    </row>
    <row r="408">
      <c r="A408" s="6" t="inlineStr">
        <is>
          <t>L21</t>
        </is>
      </c>
      <c r="B408" s="6" t="inlineStr">
        <is>
          <t>strong</t>
        </is>
      </c>
      <c r="C408" s="6" t="inlineStr">
        <is>
          <t>Value — Customer impact</t>
        </is>
      </c>
      <c r="D408" s="6" t="inlineStr"/>
      <c r="E408" s="6">
        <f>IFERROR(INDEX('Annotator A'!$I$5:$I$44,MATCH($A408,'Annotator A'!$A$5:$A$44,0))&amp;"","")</f>
        <v/>
      </c>
      <c r="F408" s="6">
        <f>IFERROR(INDEX('Annotator B'!$I$5:$I$44,MATCH($A408,'Annotator B'!$A$5:$A$44,0))&amp;"","")</f>
        <v/>
      </c>
      <c r="G408" s="6">
        <f>IF(AND(E408="",F408=""),"",IF(E408=F408,"agree","DIFFER"))</f>
        <v/>
      </c>
      <c r="H408" s="7" t="n"/>
      <c r="I408" s="6">
        <f>IF(H408&lt;&gt;"",H408,IF(G408="agree",E408,""))</f>
        <v/>
      </c>
    </row>
    <row r="409">
      <c r="A409" s="6" t="inlineStr">
        <is>
          <t>L21</t>
        </is>
      </c>
      <c r="B409" s="6" t="inlineStr">
        <is>
          <t>strong</t>
        </is>
      </c>
      <c r="C409" s="6" t="inlineStr">
        <is>
          <t>Value — Operational</t>
        </is>
      </c>
      <c r="D409" s="6" t="inlineStr"/>
      <c r="E409" s="6">
        <f>IFERROR(INDEX('Annotator A'!$J$5:$J$44,MATCH($A409,'Annotator A'!$A$5:$A$44,0))&amp;"","")</f>
        <v/>
      </c>
      <c r="F409" s="6">
        <f>IFERROR(INDEX('Annotator B'!$J$5:$J$44,MATCH($A409,'Annotator B'!$A$5:$A$44,0))&amp;"","")</f>
        <v/>
      </c>
      <c r="G409" s="6">
        <f>IF(AND(E409="",F409=""),"",IF(E409=F409,"agree","DIFFER"))</f>
        <v/>
      </c>
      <c r="H409" s="7" t="n"/>
      <c r="I409" s="6">
        <f>IF(H409&lt;&gt;"",H409,IF(G409="agree",E409,""))</f>
        <v/>
      </c>
    </row>
    <row r="410">
      <c r="A410" s="6" t="inlineStr">
        <is>
          <t>L21</t>
        </is>
      </c>
      <c r="B410" s="6" t="inlineStr">
        <is>
          <t>strong</t>
        </is>
      </c>
      <c r="C410" s="6" t="inlineStr">
        <is>
          <t>Value — Problem severity</t>
        </is>
      </c>
      <c r="D410" s="6" t="inlineStr">
        <is>
          <t>Moderate</t>
        </is>
      </c>
      <c r="E410" s="6">
        <f>IFERROR(INDEX('Annotator A'!$K$5:$K$44,MATCH($A410,'Annotator A'!$A$5:$A$44,0))&amp;"","")</f>
        <v/>
      </c>
      <c r="F410" s="6">
        <f>IFERROR(INDEX('Annotator B'!$K$5:$K$44,MATCH($A410,'Annotator B'!$A$5:$A$44,0))&amp;"","")</f>
        <v/>
      </c>
      <c r="G410" s="6">
        <f>IF(AND(E410="",F410=""),"",IF(E410=F410,"agree","DIFFER"))</f>
        <v/>
      </c>
      <c r="H410" s="7" t="n"/>
      <c r="I410" s="6">
        <f>IF(H410&lt;&gt;"",H410,IF(G410="agree",E410,""))</f>
        <v/>
      </c>
    </row>
    <row r="411">
      <c r="A411" s="6" t="inlineStr">
        <is>
          <t>L21</t>
        </is>
      </c>
      <c r="B411" s="6" t="inlineStr">
        <is>
          <t>strong</t>
        </is>
      </c>
      <c r="C411" s="6" t="inlineStr">
        <is>
          <t>Value — Problem frequency</t>
        </is>
      </c>
      <c r="D411" s="6" t="inlineStr"/>
      <c r="E411" s="6">
        <f>IFERROR(INDEX('Annotator A'!$L$5:$L$44,MATCH($A411,'Annotator A'!$A$5:$A$44,0))&amp;"","")</f>
        <v/>
      </c>
      <c r="F411" s="6">
        <f>IFERROR(INDEX('Annotator B'!$L$5:$L$44,MATCH($A411,'Annotator B'!$A$5:$A$44,0))&amp;"","")</f>
        <v/>
      </c>
      <c r="G411" s="6">
        <f>IF(AND(E411="",F411=""),"",IF(E411=F411,"agree","DIFFER"))</f>
        <v/>
      </c>
      <c r="H411" s="7" t="n"/>
      <c r="I411" s="6">
        <f>IF(H411&lt;&gt;"",H411,IF(G411="agree",E411,""))</f>
        <v/>
      </c>
    </row>
    <row r="412">
      <c r="A412" s="6" t="inlineStr">
        <is>
          <t>L21</t>
        </is>
      </c>
      <c r="B412" s="6" t="inlineStr">
        <is>
          <t>strong</t>
        </is>
      </c>
      <c r="C412" s="6" t="inlineStr">
        <is>
          <t>Feasibility status</t>
        </is>
      </c>
      <c r="D412" s="6" t="inlineStr">
        <is>
          <t>FEASIBLE_WITH_CONDITIONS</t>
        </is>
      </c>
      <c r="E412" s="6">
        <f>IFERROR(INDEX('Annotator A'!$M$5:$M$44,MATCH($A412,'Annotator A'!$A$5:$A$44,0))&amp;"","")</f>
        <v/>
      </c>
      <c r="F412" s="6">
        <f>IFERROR(INDEX('Annotator B'!$M$5:$M$44,MATCH($A412,'Annotator B'!$A$5:$A$44,0))&amp;"","")</f>
        <v/>
      </c>
      <c r="G412" s="6">
        <f>IF(AND(E412="",F412=""),"",IF(E412=F412,"agree","DIFFER"))</f>
        <v/>
      </c>
      <c r="H412" s="7" t="n"/>
      <c r="I412" s="6">
        <f>IF(H412&lt;&gt;"",H412,IF(G412="agree",E412,""))</f>
        <v/>
      </c>
    </row>
    <row r="413">
      <c r="A413" s="6" t="inlineStr">
        <is>
          <t>L21</t>
        </is>
      </c>
      <c r="B413" s="6" t="inlineStr">
        <is>
          <t>strong</t>
        </is>
      </c>
      <c r="C413" s="6" t="inlineStr">
        <is>
          <t>Risk — Technical</t>
        </is>
      </c>
      <c r="D413" s="6" t="inlineStr"/>
      <c r="E413" s="6">
        <f>IFERROR(INDEX('Annotator A'!$N$5:$N$44,MATCH($A413,'Annotator A'!$A$5:$A$44,0))&amp;"","")</f>
        <v/>
      </c>
      <c r="F413" s="6">
        <f>IFERROR(INDEX('Annotator B'!$N$5:$N$44,MATCH($A413,'Annotator B'!$A$5:$A$44,0))&amp;"","")</f>
        <v/>
      </c>
      <c r="G413" s="6">
        <f>IF(AND(E413="",F413=""),"",IF(E413=F413,"agree","DIFFER"))</f>
        <v/>
      </c>
      <c r="H413" s="7" t="n"/>
      <c r="I413" s="6">
        <f>IF(H413&lt;&gt;"",H413,IF(G413="agree",E413,""))</f>
        <v/>
      </c>
    </row>
    <row r="414">
      <c r="A414" s="6" t="inlineStr">
        <is>
          <t>L21</t>
        </is>
      </c>
      <c r="B414" s="6" t="inlineStr">
        <is>
          <t>strong</t>
        </is>
      </c>
      <c r="C414" s="6" t="inlineStr">
        <is>
          <t>Risk — Security</t>
        </is>
      </c>
      <c r="D414" s="6" t="inlineStr"/>
      <c r="E414" s="6">
        <f>IFERROR(INDEX('Annotator A'!$O$5:$O$44,MATCH($A414,'Annotator A'!$A$5:$A$44,0))&amp;"","")</f>
        <v/>
      </c>
      <c r="F414" s="6">
        <f>IFERROR(INDEX('Annotator B'!$O$5:$O$44,MATCH($A414,'Annotator B'!$A$5:$A$44,0))&amp;"","")</f>
        <v/>
      </c>
      <c r="G414" s="6">
        <f>IF(AND(E414="",F414=""),"",IF(E414=F414,"agree","DIFFER"))</f>
        <v/>
      </c>
      <c r="H414" s="7" t="n"/>
      <c r="I414" s="6">
        <f>IF(H414&lt;&gt;"",H414,IF(G414="agree",E414,""))</f>
        <v/>
      </c>
    </row>
    <row r="415">
      <c r="A415" s="6" t="inlineStr">
        <is>
          <t>L21</t>
        </is>
      </c>
      <c r="B415" s="6" t="inlineStr">
        <is>
          <t>strong</t>
        </is>
      </c>
      <c r="C415" s="6" t="inlineStr">
        <is>
          <t>Risk — Privacy</t>
        </is>
      </c>
      <c r="D415" s="6" t="inlineStr"/>
      <c r="E415" s="6">
        <f>IFERROR(INDEX('Annotator A'!$P$5:$P$44,MATCH($A415,'Annotator A'!$A$5:$A$44,0))&amp;"","")</f>
        <v/>
      </c>
      <c r="F415" s="6">
        <f>IFERROR(INDEX('Annotator B'!$P$5:$P$44,MATCH($A415,'Annotator B'!$A$5:$A$44,0))&amp;"","")</f>
        <v/>
      </c>
      <c r="G415" s="6">
        <f>IF(AND(E415="",F415=""),"",IF(E415=F415,"agree","DIFFER"))</f>
        <v/>
      </c>
      <c r="H415" s="7" t="n"/>
      <c r="I415" s="6">
        <f>IF(H415&lt;&gt;"",H415,IF(G415="agree",E415,""))</f>
        <v/>
      </c>
    </row>
    <row r="416">
      <c r="A416" s="6" t="inlineStr">
        <is>
          <t>L21</t>
        </is>
      </c>
      <c r="B416" s="6" t="inlineStr">
        <is>
          <t>strong</t>
        </is>
      </c>
      <c r="C416" s="6" t="inlineStr">
        <is>
          <t>Risk — Compliance</t>
        </is>
      </c>
      <c r="D416" s="6" t="inlineStr">
        <is>
          <t>Yes</t>
        </is>
      </c>
      <c r="E416" s="6">
        <f>IFERROR(INDEX('Annotator A'!$Q$5:$Q$44,MATCH($A416,'Annotator A'!$A$5:$A$44,0))&amp;"","")</f>
        <v/>
      </c>
      <c r="F416" s="6">
        <f>IFERROR(INDEX('Annotator B'!$Q$5:$Q$44,MATCH($A416,'Annotator B'!$A$5:$A$44,0))&amp;"","")</f>
        <v/>
      </c>
      <c r="G416" s="6">
        <f>IF(AND(E416="",F416=""),"",IF(E416=F416,"agree","DIFFER"))</f>
        <v/>
      </c>
      <c r="H416" s="7" t="n"/>
      <c r="I416" s="6">
        <f>IF(H416&lt;&gt;"",H416,IF(G416="agree",E416,""))</f>
        <v/>
      </c>
    </row>
    <row r="417">
      <c r="A417" s="6" t="inlineStr">
        <is>
          <t>L21</t>
        </is>
      </c>
      <c r="B417" s="6" t="inlineStr">
        <is>
          <t>strong</t>
        </is>
      </c>
      <c r="C417" s="6" t="inlineStr">
        <is>
          <t>Risk — Financial</t>
        </is>
      </c>
      <c r="D417" s="6" t="inlineStr"/>
      <c r="E417" s="6">
        <f>IFERROR(INDEX('Annotator A'!$R$5:$R$44,MATCH($A417,'Annotator A'!$A$5:$A$44,0))&amp;"","")</f>
        <v/>
      </c>
      <c r="F417" s="6">
        <f>IFERROR(INDEX('Annotator B'!$R$5:$R$44,MATCH($A417,'Annotator B'!$A$5:$A$44,0))&amp;"","")</f>
        <v/>
      </c>
      <c r="G417" s="6">
        <f>IF(AND(E417="",F417=""),"",IF(E417=F417,"agree","DIFFER"))</f>
        <v/>
      </c>
      <c r="H417" s="7" t="n"/>
      <c r="I417" s="6">
        <f>IF(H417&lt;&gt;"",H417,IF(G417="agree",E417,""))</f>
        <v/>
      </c>
    </row>
    <row r="418">
      <c r="A418" s="6" t="inlineStr">
        <is>
          <t>L21</t>
        </is>
      </c>
      <c r="B418" s="6" t="inlineStr">
        <is>
          <t>strong</t>
        </is>
      </c>
      <c r="C418" s="6" t="inlineStr">
        <is>
          <t>Risk — Operational</t>
        </is>
      </c>
      <c r="D418" s="6" t="inlineStr">
        <is>
          <t>Yes</t>
        </is>
      </c>
      <c r="E418" s="6">
        <f>IFERROR(INDEX('Annotator A'!$S$5:$S$44,MATCH($A418,'Annotator A'!$A$5:$A$44,0))&amp;"","")</f>
        <v/>
      </c>
      <c r="F418" s="6">
        <f>IFERROR(INDEX('Annotator B'!$S$5:$S$44,MATCH($A418,'Annotator B'!$A$5:$A$44,0))&amp;"","")</f>
        <v/>
      </c>
      <c r="G418" s="6">
        <f>IF(AND(E418="",F418=""),"",IF(E418=F418,"agree","DIFFER"))</f>
        <v/>
      </c>
      <c r="H418" s="7" t="n"/>
      <c r="I418" s="6">
        <f>IF(H418&lt;&gt;"",H418,IF(G418="agree",E418,""))</f>
        <v/>
      </c>
    </row>
    <row r="419">
      <c r="A419" s="6" t="inlineStr">
        <is>
          <t>L21</t>
        </is>
      </c>
      <c r="B419" s="6" t="inlineStr">
        <is>
          <t>strong</t>
        </is>
      </c>
      <c r="C419" s="6" t="inlineStr">
        <is>
          <t>Risk — Adoption</t>
        </is>
      </c>
      <c r="D419" s="6" t="inlineStr"/>
      <c r="E419" s="6">
        <f>IFERROR(INDEX('Annotator A'!$T$5:$T$44,MATCH($A419,'Annotator A'!$A$5:$A$44,0))&amp;"","")</f>
        <v/>
      </c>
      <c r="F419" s="6">
        <f>IFERROR(INDEX('Annotator B'!$T$5:$T$44,MATCH($A419,'Annotator B'!$A$5:$A$44,0))&amp;"","")</f>
        <v/>
      </c>
      <c r="G419" s="6">
        <f>IF(AND(E419="",F419=""),"",IF(E419=F419,"agree","DIFFER"))</f>
        <v/>
      </c>
      <c r="H419" s="7" t="n"/>
      <c r="I419" s="6">
        <f>IF(H419&lt;&gt;"",H419,IF(G419="agree",E419,""))</f>
        <v/>
      </c>
    </row>
    <row r="420">
      <c r="A420" s="6" t="inlineStr">
        <is>
          <t>L21</t>
        </is>
      </c>
      <c r="B420" s="6" t="inlineStr">
        <is>
          <t>strong</t>
        </is>
      </c>
      <c r="C420" s="6" t="inlineStr">
        <is>
          <t>Risk — Data</t>
        </is>
      </c>
      <c r="D420" s="6" t="inlineStr"/>
      <c r="E420" s="6">
        <f>IFERROR(INDEX('Annotator A'!$U$5:$U$44,MATCH($A420,'Annotator A'!$A$5:$A$44,0))&amp;"","")</f>
        <v/>
      </c>
      <c r="F420" s="6">
        <f>IFERROR(INDEX('Annotator B'!$U$5:$U$44,MATCH($A420,'Annotator B'!$A$5:$A$44,0))&amp;"","")</f>
        <v/>
      </c>
      <c r="G420" s="6">
        <f>IF(AND(E420="",F420=""),"",IF(E420=F420,"agree","DIFFER"))</f>
        <v/>
      </c>
      <c r="H420" s="7" t="n"/>
      <c r="I420" s="6">
        <f>IF(H420&lt;&gt;"",H420,IF(G420="agree",E420,""))</f>
        <v/>
      </c>
    </row>
    <row r="421">
      <c r="A421" s="6" t="inlineStr">
        <is>
          <t>L21</t>
        </is>
      </c>
      <c r="B421" s="6" t="inlineStr">
        <is>
          <t>strong</t>
        </is>
      </c>
      <c r="C421" s="6" t="inlineStr">
        <is>
          <t>Risk — Vendor</t>
        </is>
      </c>
      <c r="D421" s="6" t="inlineStr"/>
      <c r="E421" s="6">
        <f>IFERROR(INDEX('Annotator A'!$V$5:$V$44,MATCH($A421,'Annotator A'!$A$5:$A$44,0))&amp;"","")</f>
        <v/>
      </c>
      <c r="F421" s="6">
        <f>IFERROR(INDEX('Annotator B'!$V$5:$V$44,MATCH($A421,'Annotator B'!$A$5:$A$44,0))&amp;"","")</f>
        <v/>
      </c>
      <c r="G421" s="6">
        <f>IF(AND(E421="",F421=""),"",IF(E421=F421,"agree","DIFFER"))</f>
        <v/>
      </c>
      <c r="H421" s="7" t="n"/>
      <c r="I421" s="6">
        <f>IF(H421&lt;&gt;"",H421,IF(G421="agree",E421,""))</f>
        <v/>
      </c>
    </row>
    <row r="422">
      <c r="A422" s="6" t="inlineStr">
        <is>
          <t>L22</t>
        </is>
      </c>
      <c r="B422" s="6" t="inlineStr">
        <is>
          <t>strong</t>
        </is>
      </c>
      <c r="C422" s="6" t="inlineStr">
        <is>
          <t>Use cases</t>
        </is>
      </c>
      <c r="D422" s="6" t="inlineStr">
        <is>
          <t>propose a shift swap with automatic eligibility checks
route swap to manager for one approval</t>
        </is>
      </c>
      <c r="E422" s="6">
        <f>IFERROR(INDEX('Annotator A'!$C$5:$C$44,MATCH($A422,'Annotator A'!$A$5:$A$44,0))&amp;"","")</f>
        <v/>
      </c>
      <c r="F422" s="6">
        <f>IFERROR(INDEX('Annotator B'!$C$5:$C$44,MATCH($A422,'Annotator B'!$A$5:$A$44,0))&amp;"","")</f>
        <v/>
      </c>
      <c r="G422" s="6" t="inlineStr">
        <is>
          <t>read both</t>
        </is>
      </c>
      <c r="H422" s="7" t="n"/>
      <c r="I422" s="6">
        <f>IF(H422&lt;&gt;"",H422,"")</f>
        <v/>
      </c>
    </row>
    <row r="423">
      <c r="A423" s="6" t="inlineStr">
        <is>
          <t>L22</t>
        </is>
      </c>
      <c r="B423" s="6" t="inlineStr">
        <is>
          <t>strong</t>
        </is>
      </c>
      <c r="C423" s="6" t="inlineStr">
        <is>
          <t>Value — Business impact</t>
        </is>
      </c>
      <c r="D423" s="6" t="inlineStr"/>
      <c r="E423" s="6">
        <f>IFERROR(INDEX('Annotator A'!$D$5:$D$44,MATCH($A423,'Annotator A'!$A$5:$A$44,0))&amp;"","")</f>
        <v/>
      </c>
      <c r="F423" s="6">
        <f>IFERROR(INDEX('Annotator B'!$D$5:$D$44,MATCH($A423,'Annotator B'!$A$5:$A$44,0))&amp;"","")</f>
        <v/>
      </c>
      <c r="G423" s="6">
        <f>IF(AND(E423="",F423=""),"",IF(E423=F423,"agree","DIFFER"))</f>
        <v/>
      </c>
      <c r="H423" s="7" t="n"/>
      <c r="I423" s="6">
        <f>IF(H423&lt;&gt;"",H423,IF(G423="agree",E423,""))</f>
        <v/>
      </c>
    </row>
    <row r="424">
      <c r="A424" s="6" t="inlineStr">
        <is>
          <t>L22</t>
        </is>
      </c>
      <c r="B424" s="6" t="inlineStr">
        <is>
          <t>strong</t>
        </is>
      </c>
      <c r="C424" s="6" t="inlineStr">
        <is>
          <t>Value — Productivity</t>
        </is>
      </c>
      <c r="D424" s="6" t="inlineStr"/>
      <c r="E424" s="6">
        <f>IFERROR(INDEX('Annotator A'!$E$5:$E$44,MATCH($A424,'Annotator A'!$A$5:$A$44,0))&amp;"","")</f>
        <v/>
      </c>
      <c r="F424" s="6">
        <f>IFERROR(INDEX('Annotator B'!$E$5:$E$44,MATCH($A424,'Annotator B'!$A$5:$A$44,0))&amp;"","")</f>
        <v/>
      </c>
      <c r="G424" s="6">
        <f>IF(AND(E424="",F424=""),"",IF(E424=F424,"agree","DIFFER"))</f>
        <v/>
      </c>
      <c r="H424" s="7" t="n"/>
      <c r="I424" s="6">
        <f>IF(H424&lt;&gt;"",H424,IF(G424="agree",E424,""))</f>
        <v/>
      </c>
    </row>
    <row r="425">
      <c r="A425" s="6" t="inlineStr">
        <is>
          <t>L22</t>
        </is>
      </c>
      <c r="B425" s="6" t="inlineStr">
        <is>
          <t>strong</t>
        </is>
      </c>
      <c r="C425" s="6" t="inlineStr">
        <is>
          <t>Value — Cost reduction</t>
        </is>
      </c>
      <c r="D425" s="6" t="inlineStr"/>
      <c r="E425" s="6">
        <f>IFERROR(INDEX('Annotator A'!$F$5:$F$44,MATCH($A425,'Annotator A'!$A$5:$A$44,0))&amp;"","")</f>
        <v/>
      </c>
      <c r="F425" s="6">
        <f>IFERROR(INDEX('Annotator B'!$F$5:$F$44,MATCH($A425,'Annotator B'!$A$5:$A$44,0))&amp;"","")</f>
        <v/>
      </c>
      <c r="G425" s="6">
        <f>IF(AND(E425="",F425=""),"",IF(E425=F425,"agree","DIFFER"))</f>
        <v/>
      </c>
      <c r="H425" s="7" t="n"/>
      <c r="I425" s="6">
        <f>IF(H425&lt;&gt;"",H425,IF(G425="agree",E425,""))</f>
        <v/>
      </c>
    </row>
    <row r="426">
      <c r="A426" s="6" t="inlineStr">
        <is>
          <t>L22</t>
        </is>
      </c>
      <c r="B426" s="6" t="inlineStr">
        <is>
          <t>strong</t>
        </is>
      </c>
      <c r="C426" s="6" t="inlineStr">
        <is>
          <t>Value — Revenue</t>
        </is>
      </c>
      <c r="D426" s="6" t="inlineStr"/>
      <c r="E426" s="6">
        <f>IFERROR(INDEX('Annotator A'!$G$5:$G$44,MATCH($A426,'Annotator A'!$A$5:$A$44,0))&amp;"","")</f>
        <v/>
      </c>
      <c r="F426" s="6">
        <f>IFERROR(INDEX('Annotator B'!$G$5:$G$44,MATCH($A426,'Annotator B'!$A$5:$A$44,0))&amp;"","")</f>
        <v/>
      </c>
      <c r="G426" s="6">
        <f>IF(AND(E426="",F426=""),"",IF(E426=F426,"agree","DIFFER"))</f>
        <v/>
      </c>
      <c r="H426" s="7" t="n"/>
      <c r="I426" s="6">
        <f>IF(H426&lt;&gt;"",H426,IF(G426="agree",E426,""))</f>
        <v/>
      </c>
    </row>
    <row r="427">
      <c r="A427" s="6" t="inlineStr">
        <is>
          <t>L22</t>
        </is>
      </c>
      <c r="B427" s="6" t="inlineStr">
        <is>
          <t>strong</t>
        </is>
      </c>
      <c r="C427" s="6" t="inlineStr">
        <is>
          <t>Value — Employee experience</t>
        </is>
      </c>
      <c r="D427" s="6" t="inlineStr"/>
      <c r="E427" s="6">
        <f>IFERROR(INDEX('Annotator A'!$H$5:$H$44,MATCH($A427,'Annotator A'!$A$5:$A$44,0))&amp;"","")</f>
        <v/>
      </c>
      <c r="F427" s="6">
        <f>IFERROR(INDEX('Annotator B'!$H$5:$H$44,MATCH($A427,'Annotator B'!$A$5:$A$44,0))&amp;"","")</f>
        <v/>
      </c>
      <c r="G427" s="6">
        <f>IF(AND(E427="",F427=""),"",IF(E427=F427,"agree","DIFFER"))</f>
        <v/>
      </c>
      <c r="H427" s="7" t="n"/>
      <c r="I427" s="6">
        <f>IF(H427&lt;&gt;"",H427,IF(G427="agree",E427,""))</f>
        <v/>
      </c>
    </row>
    <row r="428">
      <c r="A428" s="6" t="inlineStr">
        <is>
          <t>L22</t>
        </is>
      </c>
      <c r="B428" s="6" t="inlineStr">
        <is>
          <t>strong</t>
        </is>
      </c>
      <c r="C428" s="6" t="inlineStr">
        <is>
          <t>Value — Customer impact</t>
        </is>
      </c>
      <c r="D428" s="6" t="inlineStr"/>
      <c r="E428" s="6">
        <f>IFERROR(INDEX('Annotator A'!$I$5:$I$44,MATCH($A428,'Annotator A'!$A$5:$A$44,0))&amp;"","")</f>
        <v/>
      </c>
      <c r="F428" s="6">
        <f>IFERROR(INDEX('Annotator B'!$I$5:$I$44,MATCH($A428,'Annotator B'!$A$5:$A$44,0))&amp;"","")</f>
        <v/>
      </c>
      <c r="G428" s="6">
        <f>IF(AND(E428="",F428=""),"",IF(E428=F428,"agree","DIFFER"))</f>
        <v/>
      </c>
      <c r="H428" s="7" t="n"/>
      <c r="I428" s="6">
        <f>IF(H428&lt;&gt;"",H428,IF(G428="agree",E428,""))</f>
        <v/>
      </c>
    </row>
    <row r="429">
      <c r="A429" s="6" t="inlineStr">
        <is>
          <t>L22</t>
        </is>
      </c>
      <c r="B429" s="6" t="inlineStr">
        <is>
          <t>strong</t>
        </is>
      </c>
      <c r="C429" s="6" t="inlineStr">
        <is>
          <t>Value — Operational</t>
        </is>
      </c>
      <c r="D429" s="6" t="inlineStr">
        <is>
          <t>Moderate</t>
        </is>
      </c>
      <c r="E429" s="6">
        <f>IFERROR(INDEX('Annotator A'!$J$5:$J$44,MATCH($A429,'Annotator A'!$A$5:$A$44,0))&amp;"","")</f>
        <v/>
      </c>
      <c r="F429" s="6">
        <f>IFERROR(INDEX('Annotator B'!$J$5:$J$44,MATCH($A429,'Annotator B'!$A$5:$A$44,0))&amp;"","")</f>
        <v/>
      </c>
      <c r="G429" s="6">
        <f>IF(AND(E429="",F429=""),"",IF(E429=F429,"agree","DIFFER"))</f>
        <v/>
      </c>
      <c r="H429" s="7" t="n"/>
      <c r="I429" s="6">
        <f>IF(H429&lt;&gt;"",H429,IF(G429="agree",E429,""))</f>
        <v/>
      </c>
    </row>
    <row r="430">
      <c r="A430" s="6" t="inlineStr">
        <is>
          <t>L22</t>
        </is>
      </c>
      <c r="B430" s="6" t="inlineStr">
        <is>
          <t>strong</t>
        </is>
      </c>
      <c r="C430" s="6" t="inlineStr">
        <is>
          <t>Value — Problem severity</t>
        </is>
      </c>
      <c r="D430" s="6" t="inlineStr"/>
      <c r="E430" s="6">
        <f>IFERROR(INDEX('Annotator A'!$K$5:$K$44,MATCH($A430,'Annotator A'!$A$5:$A$44,0))&amp;"","")</f>
        <v/>
      </c>
      <c r="F430" s="6">
        <f>IFERROR(INDEX('Annotator B'!$K$5:$K$44,MATCH($A430,'Annotator B'!$A$5:$A$44,0))&amp;"","")</f>
        <v/>
      </c>
      <c r="G430" s="6">
        <f>IF(AND(E430="",F430=""),"",IF(E430=F430,"agree","DIFFER"))</f>
        <v/>
      </c>
      <c r="H430" s="7" t="n"/>
      <c r="I430" s="6">
        <f>IF(H430&lt;&gt;"",H430,IF(G430="agree",E430,""))</f>
        <v/>
      </c>
    </row>
    <row r="431">
      <c r="A431" s="6" t="inlineStr">
        <is>
          <t>L22</t>
        </is>
      </c>
      <c r="B431" s="6" t="inlineStr">
        <is>
          <t>strong</t>
        </is>
      </c>
      <c r="C431" s="6" t="inlineStr">
        <is>
          <t>Value — Problem frequency</t>
        </is>
      </c>
      <c r="D431" s="6" t="inlineStr">
        <is>
          <t>High</t>
        </is>
      </c>
      <c r="E431" s="6">
        <f>IFERROR(INDEX('Annotator A'!$L$5:$L$44,MATCH($A431,'Annotator A'!$A$5:$A$44,0))&amp;"","")</f>
        <v/>
      </c>
      <c r="F431" s="6">
        <f>IFERROR(INDEX('Annotator B'!$L$5:$L$44,MATCH($A431,'Annotator B'!$A$5:$A$44,0))&amp;"","")</f>
        <v/>
      </c>
      <c r="G431" s="6">
        <f>IF(AND(E431="",F431=""),"",IF(E431=F431,"agree","DIFFER"))</f>
        <v/>
      </c>
      <c r="H431" s="7" t="n"/>
      <c r="I431" s="6">
        <f>IF(H431&lt;&gt;"",H431,IF(G431="agree",E431,""))</f>
        <v/>
      </c>
    </row>
    <row r="432">
      <c r="A432" s="6" t="inlineStr">
        <is>
          <t>L22</t>
        </is>
      </c>
      <c r="B432" s="6" t="inlineStr">
        <is>
          <t>strong</t>
        </is>
      </c>
      <c r="C432" s="6" t="inlineStr">
        <is>
          <t>Feasibility status</t>
        </is>
      </c>
      <c r="D432" s="6" t="inlineStr">
        <is>
          <t>FEASIBLE_WITH_CONDITIONS</t>
        </is>
      </c>
      <c r="E432" s="6">
        <f>IFERROR(INDEX('Annotator A'!$M$5:$M$44,MATCH($A432,'Annotator A'!$A$5:$A$44,0))&amp;"","")</f>
        <v/>
      </c>
      <c r="F432" s="6">
        <f>IFERROR(INDEX('Annotator B'!$M$5:$M$44,MATCH($A432,'Annotator B'!$A$5:$A$44,0))&amp;"","")</f>
        <v/>
      </c>
      <c r="G432" s="6">
        <f>IF(AND(E432="",F432=""),"",IF(E432=F432,"agree","DIFFER"))</f>
        <v/>
      </c>
      <c r="H432" s="7" t="n"/>
      <c r="I432" s="6">
        <f>IF(H432&lt;&gt;"",H432,IF(G432="agree",E432,""))</f>
        <v/>
      </c>
    </row>
    <row r="433">
      <c r="A433" s="6" t="inlineStr">
        <is>
          <t>L22</t>
        </is>
      </c>
      <c r="B433" s="6" t="inlineStr">
        <is>
          <t>strong</t>
        </is>
      </c>
      <c r="C433" s="6" t="inlineStr">
        <is>
          <t>Risk — Technical</t>
        </is>
      </c>
      <c r="D433" s="6" t="inlineStr"/>
      <c r="E433" s="6">
        <f>IFERROR(INDEX('Annotator A'!$N$5:$N$44,MATCH($A433,'Annotator A'!$A$5:$A$44,0))&amp;"","")</f>
        <v/>
      </c>
      <c r="F433" s="6">
        <f>IFERROR(INDEX('Annotator B'!$N$5:$N$44,MATCH($A433,'Annotator B'!$A$5:$A$44,0))&amp;"","")</f>
        <v/>
      </c>
      <c r="G433" s="6">
        <f>IF(AND(E433="",F433=""),"",IF(E433=F433,"agree","DIFFER"))</f>
        <v/>
      </c>
      <c r="H433" s="7" t="n"/>
      <c r="I433" s="6">
        <f>IF(H433&lt;&gt;"",H433,IF(G433="agree",E433,""))</f>
        <v/>
      </c>
    </row>
    <row r="434">
      <c r="A434" s="6" t="inlineStr">
        <is>
          <t>L22</t>
        </is>
      </c>
      <c r="B434" s="6" t="inlineStr">
        <is>
          <t>strong</t>
        </is>
      </c>
      <c r="C434" s="6" t="inlineStr">
        <is>
          <t>Risk — Security</t>
        </is>
      </c>
      <c r="D434" s="6" t="inlineStr"/>
      <c r="E434" s="6">
        <f>IFERROR(INDEX('Annotator A'!$O$5:$O$44,MATCH($A434,'Annotator A'!$A$5:$A$44,0))&amp;"","")</f>
        <v/>
      </c>
      <c r="F434" s="6">
        <f>IFERROR(INDEX('Annotator B'!$O$5:$O$44,MATCH($A434,'Annotator B'!$A$5:$A$44,0))&amp;"","")</f>
        <v/>
      </c>
      <c r="G434" s="6">
        <f>IF(AND(E434="",F434=""),"",IF(E434=F434,"agree","DIFFER"))</f>
        <v/>
      </c>
      <c r="H434" s="7" t="n"/>
      <c r="I434" s="6">
        <f>IF(H434&lt;&gt;"",H434,IF(G434="agree",E434,""))</f>
        <v/>
      </c>
    </row>
    <row r="435">
      <c r="A435" s="6" t="inlineStr">
        <is>
          <t>L22</t>
        </is>
      </c>
      <c r="B435" s="6" t="inlineStr">
        <is>
          <t>strong</t>
        </is>
      </c>
      <c r="C435" s="6" t="inlineStr">
        <is>
          <t>Risk — Privacy</t>
        </is>
      </c>
      <c r="D435" s="6" t="inlineStr"/>
      <c r="E435" s="6">
        <f>IFERROR(INDEX('Annotator A'!$P$5:$P$44,MATCH($A435,'Annotator A'!$A$5:$A$44,0))&amp;"","")</f>
        <v/>
      </c>
      <c r="F435" s="6">
        <f>IFERROR(INDEX('Annotator B'!$P$5:$P$44,MATCH($A435,'Annotator B'!$A$5:$A$44,0))&amp;"","")</f>
        <v/>
      </c>
      <c r="G435" s="6">
        <f>IF(AND(E435="",F435=""),"",IF(E435=F435,"agree","DIFFER"))</f>
        <v/>
      </c>
      <c r="H435" s="7" t="n"/>
      <c r="I435" s="6">
        <f>IF(H435&lt;&gt;"",H435,IF(G435="agree",E435,""))</f>
        <v/>
      </c>
    </row>
    <row r="436">
      <c r="A436" s="6" t="inlineStr">
        <is>
          <t>L22</t>
        </is>
      </c>
      <c r="B436" s="6" t="inlineStr">
        <is>
          <t>strong</t>
        </is>
      </c>
      <c r="C436" s="6" t="inlineStr">
        <is>
          <t>Risk — Compliance</t>
        </is>
      </c>
      <c r="D436" s="6" t="inlineStr"/>
      <c r="E436" s="6">
        <f>IFERROR(INDEX('Annotator A'!$Q$5:$Q$44,MATCH($A436,'Annotator A'!$A$5:$A$44,0))&amp;"","")</f>
        <v/>
      </c>
      <c r="F436" s="6">
        <f>IFERROR(INDEX('Annotator B'!$Q$5:$Q$44,MATCH($A436,'Annotator B'!$A$5:$A$44,0))&amp;"","")</f>
        <v/>
      </c>
      <c r="G436" s="6">
        <f>IF(AND(E436="",F436=""),"",IF(E436=F436,"agree","DIFFER"))</f>
        <v/>
      </c>
      <c r="H436" s="7" t="n"/>
      <c r="I436" s="6">
        <f>IF(H436&lt;&gt;"",H436,IF(G436="agree",E436,""))</f>
        <v/>
      </c>
    </row>
    <row r="437">
      <c r="A437" s="6" t="inlineStr">
        <is>
          <t>L22</t>
        </is>
      </c>
      <c r="B437" s="6" t="inlineStr">
        <is>
          <t>strong</t>
        </is>
      </c>
      <c r="C437" s="6" t="inlineStr">
        <is>
          <t>Risk — Financial</t>
        </is>
      </c>
      <c r="D437" s="6" t="inlineStr"/>
      <c r="E437" s="6">
        <f>IFERROR(INDEX('Annotator A'!$R$5:$R$44,MATCH($A437,'Annotator A'!$A$5:$A$44,0))&amp;"","")</f>
        <v/>
      </c>
      <c r="F437" s="6">
        <f>IFERROR(INDEX('Annotator B'!$R$5:$R$44,MATCH($A437,'Annotator B'!$A$5:$A$44,0))&amp;"","")</f>
        <v/>
      </c>
      <c r="G437" s="6">
        <f>IF(AND(E437="",F437=""),"",IF(E437=F437,"agree","DIFFER"))</f>
        <v/>
      </c>
      <c r="H437" s="7" t="n"/>
      <c r="I437" s="6">
        <f>IF(H437&lt;&gt;"",H437,IF(G437="agree",E437,""))</f>
        <v/>
      </c>
    </row>
    <row r="438">
      <c r="A438" s="6" t="inlineStr">
        <is>
          <t>L22</t>
        </is>
      </c>
      <c r="B438" s="6" t="inlineStr">
        <is>
          <t>strong</t>
        </is>
      </c>
      <c r="C438" s="6" t="inlineStr">
        <is>
          <t>Risk — Operational</t>
        </is>
      </c>
      <c r="D438" s="6" t="inlineStr">
        <is>
          <t>Yes</t>
        </is>
      </c>
      <c r="E438" s="6">
        <f>IFERROR(INDEX('Annotator A'!$S$5:$S$44,MATCH($A438,'Annotator A'!$A$5:$A$44,0))&amp;"","")</f>
        <v/>
      </c>
      <c r="F438" s="6">
        <f>IFERROR(INDEX('Annotator B'!$S$5:$S$44,MATCH($A438,'Annotator B'!$A$5:$A$44,0))&amp;"","")</f>
        <v/>
      </c>
      <c r="G438" s="6">
        <f>IF(AND(E438="",F438=""),"",IF(E438=F438,"agree","DIFFER"))</f>
        <v/>
      </c>
      <c r="H438" s="7" t="n"/>
      <c r="I438" s="6">
        <f>IF(H438&lt;&gt;"",H438,IF(G438="agree",E438,""))</f>
        <v/>
      </c>
    </row>
    <row r="439">
      <c r="A439" s="6" t="inlineStr">
        <is>
          <t>L22</t>
        </is>
      </c>
      <c r="B439" s="6" t="inlineStr">
        <is>
          <t>strong</t>
        </is>
      </c>
      <c r="C439" s="6" t="inlineStr">
        <is>
          <t>Risk — Adoption</t>
        </is>
      </c>
      <c r="D439" s="6" t="inlineStr"/>
      <c r="E439" s="6">
        <f>IFERROR(INDEX('Annotator A'!$T$5:$T$44,MATCH($A439,'Annotator A'!$A$5:$A$44,0))&amp;"","")</f>
        <v/>
      </c>
      <c r="F439" s="6">
        <f>IFERROR(INDEX('Annotator B'!$T$5:$T$44,MATCH($A439,'Annotator B'!$A$5:$A$44,0))&amp;"","")</f>
        <v/>
      </c>
      <c r="G439" s="6">
        <f>IF(AND(E439="",F439=""),"",IF(E439=F439,"agree","DIFFER"))</f>
        <v/>
      </c>
      <c r="H439" s="7" t="n"/>
      <c r="I439" s="6">
        <f>IF(H439&lt;&gt;"",H439,IF(G439="agree",E439,""))</f>
        <v/>
      </c>
    </row>
    <row r="440">
      <c r="A440" s="6" t="inlineStr">
        <is>
          <t>L22</t>
        </is>
      </c>
      <c r="B440" s="6" t="inlineStr">
        <is>
          <t>strong</t>
        </is>
      </c>
      <c r="C440" s="6" t="inlineStr">
        <is>
          <t>Risk — Data</t>
        </is>
      </c>
      <c r="D440" s="6" t="inlineStr"/>
      <c r="E440" s="6">
        <f>IFERROR(INDEX('Annotator A'!$U$5:$U$44,MATCH($A440,'Annotator A'!$A$5:$A$44,0))&amp;"","")</f>
        <v/>
      </c>
      <c r="F440" s="6">
        <f>IFERROR(INDEX('Annotator B'!$U$5:$U$44,MATCH($A440,'Annotator B'!$A$5:$A$44,0))&amp;"","")</f>
        <v/>
      </c>
      <c r="G440" s="6">
        <f>IF(AND(E440="",F440=""),"",IF(E440=F440,"agree","DIFFER"))</f>
        <v/>
      </c>
      <c r="H440" s="7" t="n"/>
      <c r="I440" s="6">
        <f>IF(H440&lt;&gt;"",H440,IF(G440="agree",E440,""))</f>
        <v/>
      </c>
    </row>
    <row r="441">
      <c r="A441" s="6" t="inlineStr">
        <is>
          <t>L22</t>
        </is>
      </c>
      <c r="B441" s="6" t="inlineStr">
        <is>
          <t>strong</t>
        </is>
      </c>
      <c r="C441" s="6" t="inlineStr">
        <is>
          <t>Risk — Vendor</t>
        </is>
      </c>
      <c r="D441" s="6" t="inlineStr"/>
      <c r="E441" s="6">
        <f>IFERROR(INDEX('Annotator A'!$V$5:$V$44,MATCH($A441,'Annotator A'!$A$5:$A$44,0))&amp;"","")</f>
        <v/>
      </c>
      <c r="F441" s="6">
        <f>IFERROR(INDEX('Annotator B'!$V$5:$V$44,MATCH($A441,'Annotator B'!$A$5:$A$44,0))&amp;"","")</f>
        <v/>
      </c>
      <c r="G441" s="6">
        <f>IF(AND(E441="",F441=""),"",IF(E441=F441,"agree","DIFFER"))</f>
        <v/>
      </c>
      <c r="H441" s="7" t="n"/>
      <c r="I441" s="6">
        <f>IF(H441&lt;&gt;"",H441,IF(G441="agree",E441,""))</f>
        <v/>
      </c>
    </row>
    <row r="442">
      <c r="A442" s="6" t="inlineStr">
        <is>
          <t>L23</t>
        </is>
      </c>
      <c r="B442" s="6" t="inlineStr">
        <is>
          <t>strong</t>
        </is>
      </c>
      <c r="C442" s="6" t="inlineStr">
        <is>
          <t>Use cases</t>
        </is>
      </c>
      <c r="D442" s="6" t="inlineStr">
        <is>
          <t>detect double-booked rooms across calendar systems
suggest nearest available room</t>
        </is>
      </c>
      <c r="E442" s="6">
        <f>IFERROR(INDEX('Annotator A'!$C$5:$C$44,MATCH($A442,'Annotator A'!$A$5:$A$44,0))&amp;"","")</f>
        <v/>
      </c>
      <c r="F442" s="6">
        <f>IFERROR(INDEX('Annotator B'!$C$5:$C$44,MATCH($A442,'Annotator B'!$A$5:$A$44,0))&amp;"","")</f>
        <v/>
      </c>
      <c r="G442" s="6" t="inlineStr">
        <is>
          <t>read both</t>
        </is>
      </c>
      <c r="H442" s="7" t="n"/>
      <c r="I442" s="6">
        <f>IF(H442&lt;&gt;"",H442,"")</f>
        <v/>
      </c>
    </row>
    <row r="443">
      <c r="A443" s="6" t="inlineStr">
        <is>
          <t>L23</t>
        </is>
      </c>
      <c r="B443" s="6" t="inlineStr">
        <is>
          <t>strong</t>
        </is>
      </c>
      <c r="C443" s="6" t="inlineStr">
        <is>
          <t>Value — Business impact</t>
        </is>
      </c>
      <c r="D443" s="6" t="inlineStr"/>
      <c r="E443" s="6">
        <f>IFERROR(INDEX('Annotator A'!$D$5:$D$44,MATCH($A443,'Annotator A'!$A$5:$A$44,0))&amp;"","")</f>
        <v/>
      </c>
      <c r="F443" s="6">
        <f>IFERROR(INDEX('Annotator B'!$D$5:$D$44,MATCH($A443,'Annotator B'!$A$5:$A$44,0))&amp;"","")</f>
        <v/>
      </c>
      <c r="G443" s="6">
        <f>IF(AND(E443="",F443=""),"",IF(E443=F443,"agree","DIFFER"))</f>
        <v/>
      </c>
      <c r="H443" s="7" t="n"/>
      <c r="I443" s="6">
        <f>IF(H443&lt;&gt;"",H443,IF(G443="agree",E443,""))</f>
        <v/>
      </c>
    </row>
    <row r="444">
      <c r="A444" s="6" t="inlineStr">
        <is>
          <t>L23</t>
        </is>
      </c>
      <c r="B444" s="6" t="inlineStr">
        <is>
          <t>strong</t>
        </is>
      </c>
      <c r="C444" s="6" t="inlineStr">
        <is>
          <t>Value — Productivity</t>
        </is>
      </c>
      <c r="D444" s="6" t="inlineStr"/>
      <c r="E444" s="6">
        <f>IFERROR(INDEX('Annotator A'!$E$5:$E$44,MATCH($A444,'Annotator A'!$A$5:$A$44,0))&amp;"","")</f>
        <v/>
      </c>
      <c r="F444" s="6">
        <f>IFERROR(INDEX('Annotator B'!$E$5:$E$44,MATCH($A444,'Annotator B'!$A$5:$A$44,0))&amp;"","")</f>
        <v/>
      </c>
      <c r="G444" s="6">
        <f>IF(AND(E444="",F444=""),"",IF(E444=F444,"agree","DIFFER"))</f>
        <v/>
      </c>
      <c r="H444" s="7" t="n"/>
      <c r="I444" s="6">
        <f>IF(H444&lt;&gt;"",H444,IF(G444="agree",E444,""))</f>
        <v/>
      </c>
    </row>
    <row r="445">
      <c r="A445" s="6" t="inlineStr">
        <is>
          <t>L23</t>
        </is>
      </c>
      <c r="B445" s="6" t="inlineStr">
        <is>
          <t>strong</t>
        </is>
      </c>
      <c r="C445" s="6" t="inlineStr">
        <is>
          <t>Value — Cost reduction</t>
        </is>
      </c>
      <c r="D445" s="6" t="inlineStr"/>
      <c r="E445" s="6">
        <f>IFERROR(INDEX('Annotator A'!$F$5:$F$44,MATCH($A445,'Annotator A'!$A$5:$A$44,0))&amp;"","")</f>
        <v/>
      </c>
      <c r="F445" s="6">
        <f>IFERROR(INDEX('Annotator B'!$F$5:$F$44,MATCH($A445,'Annotator B'!$A$5:$A$44,0))&amp;"","")</f>
        <v/>
      </c>
      <c r="G445" s="6">
        <f>IF(AND(E445="",F445=""),"",IF(E445=F445,"agree","DIFFER"))</f>
        <v/>
      </c>
      <c r="H445" s="7" t="n"/>
      <c r="I445" s="6">
        <f>IF(H445&lt;&gt;"",H445,IF(G445="agree",E445,""))</f>
        <v/>
      </c>
    </row>
    <row r="446">
      <c r="A446" s="6" t="inlineStr">
        <is>
          <t>L23</t>
        </is>
      </c>
      <c r="B446" s="6" t="inlineStr">
        <is>
          <t>strong</t>
        </is>
      </c>
      <c r="C446" s="6" t="inlineStr">
        <is>
          <t>Value — Revenue</t>
        </is>
      </c>
      <c r="D446" s="6" t="inlineStr"/>
      <c r="E446" s="6">
        <f>IFERROR(INDEX('Annotator A'!$G$5:$G$44,MATCH($A446,'Annotator A'!$A$5:$A$44,0))&amp;"","")</f>
        <v/>
      </c>
      <c r="F446" s="6">
        <f>IFERROR(INDEX('Annotator B'!$G$5:$G$44,MATCH($A446,'Annotator B'!$A$5:$A$44,0))&amp;"","")</f>
        <v/>
      </c>
      <c r="G446" s="6">
        <f>IF(AND(E446="",F446=""),"",IF(E446=F446,"agree","DIFFER"))</f>
        <v/>
      </c>
      <c r="H446" s="7" t="n"/>
      <c r="I446" s="6">
        <f>IF(H446&lt;&gt;"",H446,IF(G446="agree",E446,""))</f>
        <v/>
      </c>
    </row>
    <row r="447">
      <c r="A447" s="6" t="inlineStr">
        <is>
          <t>L23</t>
        </is>
      </c>
      <c r="B447" s="6" t="inlineStr">
        <is>
          <t>strong</t>
        </is>
      </c>
      <c r="C447" s="6" t="inlineStr">
        <is>
          <t>Value — Employee experience</t>
        </is>
      </c>
      <c r="D447" s="6" t="inlineStr"/>
      <c r="E447" s="6">
        <f>IFERROR(INDEX('Annotator A'!$H$5:$H$44,MATCH($A447,'Annotator A'!$A$5:$A$44,0))&amp;"","")</f>
        <v/>
      </c>
      <c r="F447" s="6">
        <f>IFERROR(INDEX('Annotator B'!$H$5:$H$44,MATCH($A447,'Annotator B'!$A$5:$A$44,0))&amp;"","")</f>
        <v/>
      </c>
      <c r="G447" s="6">
        <f>IF(AND(E447="",F447=""),"",IF(E447=F447,"agree","DIFFER"))</f>
        <v/>
      </c>
      <c r="H447" s="7" t="n"/>
      <c r="I447" s="6">
        <f>IF(H447&lt;&gt;"",H447,IF(G447="agree",E447,""))</f>
        <v/>
      </c>
    </row>
    <row r="448">
      <c r="A448" s="6" t="inlineStr">
        <is>
          <t>L23</t>
        </is>
      </c>
      <c r="B448" s="6" t="inlineStr">
        <is>
          <t>strong</t>
        </is>
      </c>
      <c r="C448" s="6" t="inlineStr">
        <is>
          <t>Value — Customer impact</t>
        </is>
      </c>
      <c r="D448" s="6" t="inlineStr"/>
      <c r="E448" s="6">
        <f>IFERROR(INDEX('Annotator A'!$I$5:$I$44,MATCH($A448,'Annotator A'!$A$5:$A$44,0))&amp;"","")</f>
        <v/>
      </c>
      <c r="F448" s="6">
        <f>IFERROR(INDEX('Annotator B'!$I$5:$I$44,MATCH($A448,'Annotator B'!$A$5:$A$44,0))&amp;"","")</f>
        <v/>
      </c>
      <c r="G448" s="6">
        <f>IF(AND(E448="",F448=""),"",IF(E448=F448,"agree","DIFFER"))</f>
        <v/>
      </c>
      <c r="H448" s="7" t="n"/>
      <c r="I448" s="6">
        <f>IF(H448&lt;&gt;"",H448,IF(G448="agree",E448,""))</f>
        <v/>
      </c>
    </row>
    <row r="449">
      <c r="A449" s="6" t="inlineStr">
        <is>
          <t>L23</t>
        </is>
      </c>
      <c r="B449" s="6" t="inlineStr">
        <is>
          <t>strong</t>
        </is>
      </c>
      <c r="C449" s="6" t="inlineStr">
        <is>
          <t>Value — Operational</t>
        </is>
      </c>
      <c r="D449" s="6" t="inlineStr">
        <is>
          <t>High</t>
        </is>
      </c>
      <c r="E449" s="6">
        <f>IFERROR(INDEX('Annotator A'!$J$5:$J$44,MATCH($A449,'Annotator A'!$A$5:$A$44,0))&amp;"","")</f>
        <v/>
      </c>
      <c r="F449" s="6">
        <f>IFERROR(INDEX('Annotator B'!$J$5:$J$44,MATCH($A449,'Annotator B'!$A$5:$A$44,0))&amp;"","")</f>
        <v/>
      </c>
      <c r="G449" s="6">
        <f>IF(AND(E449="",F449=""),"",IF(E449=F449,"agree","DIFFER"))</f>
        <v/>
      </c>
      <c r="H449" s="7" t="n"/>
      <c r="I449" s="6">
        <f>IF(H449&lt;&gt;"",H449,IF(G449="agree",E449,""))</f>
        <v/>
      </c>
    </row>
    <row r="450">
      <c r="A450" s="6" t="inlineStr">
        <is>
          <t>L23</t>
        </is>
      </c>
      <c r="B450" s="6" t="inlineStr">
        <is>
          <t>strong</t>
        </is>
      </c>
      <c r="C450" s="6" t="inlineStr">
        <is>
          <t>Value — Problem severity</t>
        </is>
      </c>
      <c r="D450" s="6" t="inlineStr"/>
      <c r="E450" s="6">
        <f>IFERROR(INDEX('Annotator A'!$K$5:$K$44,MATCH($A450,'Annotator A'!$A$5:$A$44,0))&amp;"","")</f>
        <v/>
      </c>
      <c r="F450" s="6">
        <f>IFERROR(INDEX('Annotator B'!$K$5:$K$44,MATCH($A450,'Annotator B'!$A$5:$A$44,0))&amp;"","")</f>
        <v/>
      </c>
      <c r="G450" s="6">
        <f>IF(AND(E450="",F450=""),"",IF(E450=F450,"agree","DIFFER"))</f>
        <v/>
      </c>
      <c r="H450" s="7" t="n"/>
      <c r="I450" s="6">
        <f>IF(H450&lt;&gt;"",H450,IF(G450="agree",E450,""))</f>
        <v/>
      </c>
    </row>
    <row r="451">
      <c r="A451" s="6" t="inlineStr">
        <is>
          <t>L23</t>
        </is>
      </c>
      <c r="B451" s="6" t="inlineStr">
        <is>
          <t>strong</t>
        </is>
      </c>
      <c r="C451" s="6" t="inlineStr">
        <is>
          <t>Value — Problem frequency</t>
        </is>
      </c>
      <c r="D451" s="6" t="inlineStr">
        <is>
          <t>Moderate</t>
        </is>
      </c>
      <c r="E451" s="6">
        <f>IFERROR(INDEX('Annotator A'!$L$5:$L$44,MATCH($A451,'Annotator A'!$A$5:$A$44,0))&amp;"","")</f>
        <v/>
      </c>
      <c r="F451" s="6">
        <f>IFERROR(INDEX('Annotator B'!$L$5:$L$44,MATCH($A451,'Annotator B'!$A$5:$A$44,0))&amp;"","")</f>
        <v/>
      </c>
      <c r="G451" s="6">
        <f>IF(AND(E451="",F451=""),"",IF(E451=F451,"agree","DIFFER"))</f>
        <v/>
      </c>
      <c r="H451" s="7" t="n"/>
      <c r="I451" s="6">
        <f>IF(H451&lt;&gt;"",H451,IF(G451="agree",E451,""))</f>
        <v/>
      </c>
    </row>
    <row r="452">
      <c r="A452" s="6" t="inlineStr">
        <is>
          <t>L23</t>
        </is>
      </c>
      <c r="B452" s="6" t="inlineStr">
        <is>
          <t>strong</t>
        </is>
      </c>
      <c r="C452" s="6" t="inlineStr">
        <is>
          <t>Feasibility status</t>
        </is>
      </c>
      <c r="D452" s="6" t="inlineStr">
        <is>
          <t>FEASIBLE_WITH_CONDITIONS</t>
        </is>
      </c>
      <c r="E452" s="6">
        <f>IFERROR(INDEX('Annotator A'!$M$5:$M$44,MATCH($A452,'Annotator A'!$A$5:$A$44,0))&amp;"","")</f>
        <v/>
      </c>
      <c r="F452" s="6">
        <f>IFERROR(INDEX('Annotator B'!$M$5:$M$44,MATCH($A452,'Annotator B'!$A$5:$A$44,0))&amp;"","")</f>
        <v/>
      </c>
      <c r="G452" s="6">
        <f>IF(AND(E452="",F452=""),"",IF(E452=F452,"agree","DIFFER"))</f>
        <v/>
      </c>
      <c r="H452" s="7" t="n"/>
      <c r="I452" s="6">
        <f>IF(H452&lt;&gt;"",H452,IF(G452="agree",E452,""))</f>
        <v/>
      </c>
    </row>
    <row r="453">
      <c r="A453" s="6" t="inlineStr">
        <is>
          <t>L23</t>
        </is>
      </c>
      <c r="B453" s="6" t="inlineStr">
        <is>
          <t>strong</t>
        </is>
      </c>
      <c r="C453" s="6" t="inlineStr">
        <is>
          <t>Risk — Technical</t>
        </is>
      </c>
      <c r="D453" s="6" t="inlineStr">
        <is>
          <t>Yes</t>
        </is>
      </c>
      <c r="E453" s="6">
        <f>IFERROR(INDEX('Annotator A'!$N$5:$N$44,MATCH($A453,'Annotator A'!$A$5:$A$44,0))&amp;"","")</f>
        <v/>
      </c>
      <c r="F453" s="6">
        <f>IFERROR(INDEX('Annotator B'!$N$5:$N$44,MATCH($A453,'Annotator B'!$A$5:$A$44,0))&amp;"","")</f>
        <v/>
      </c>
      <c r="G453" s="6">
        <f>IF(AND(E453="",F453=""),"",IF(E453=F453,"agree","DIFFER"))</f>
        <v/>
      </c>
      <c r="H453" s="7" t="n"/>
      <c r="I453" s="6">
        <f>IF(H453&lt;&gt;"",H453,IF(G453="agree",E453,""))</f>
        <v/>
      </c>
    </row>
    <row r="454">
      <c r="A454" s="6" t="inlineStr">
        <is>
          <t>L23</t>
        </is>
      </c>
      <c r="B454" s="6" t="inlineStr">
        <is>
          <t>strong</t>
        </is>
      </c>
      <c r="C454" s="6" t="inlineStr">
        <is>
          <t>Risk — Security</t>
        </is>
      </c>
      <c r="D454" s="6" t="inlineStr"/>
      <c r="E454" s="6">
        <f>IFERROR(INDEX('Annotator A'!$O$5:$O$44,MATCH($A454,'Annotator A'!$A$5:$A$44,0))&amp;"","")</f>
        <v/>
      </c>
      <c r="F454" s="6">
        <f>IFERROR(INDEX('Annotator B'!$O$5:$O$44,MATCH($A454,'Annotator B'!$A$5:$A$44,0))&amp;"","")</f>
        <v/>
      </c>
      <c r="G454" s="6">
        <f>IF(AND(E454="",F454=""),"",IF(E454=F454,"agree","DIFFER"))</f>
        <v/>
      </c>
      <c r="H454" s="7" t="n"/>
      <c r="I454" s="6">
        <f>IF(H454&lt;&gt;"",H454,IF(G454="agree",E454,""))</f>
        <v/>
      </c>
    </row>
    <row r="455">
      <c r="A455" s="6" t="inlineStr">
        <is>
          <t>L23</t>
        </is>
      </c>
      <c r="B455" s="6" t="inlineStr">
        <is>
          <t>strong</t>
        </is>
      </c>
      <c r="C455" s="6" t="inlineStr">
        <is>
          <t>Risk — Privacy</t>
        </is>
      </c>
      <c r="D455" s="6" t="inlineStr"/>
      <c r="E455" s="6">
        <f>IFERROR(INDEX('Annotator A'!$P$5:$P$44,MATCH($A455,'Annotator A'!$A$5:$A$44,0))&amp;"","")</f>
        <v/>
      </c>
      <c r="F455" s="6">
        <f>IFERROR(INDEX('Annotator B'!$P$5:$P$44,MATCH($A455,'Annotator B'!$A$5:$A$44,0))&amp;"","")</f>
        <v/>
      </c>
      <c r="G455" s="6">
        <f>IF(AND(E455="",F455=""),"",IF(E455=F455,"agree","DIFFER"))</f>
        <v/>
      </c>
      <c r="H455" s="7" t="n"/>
      <c r="I455" s="6">
        <f>IF(H455&lt;&gt;"",H455,IF(G455="agree",E455,""))</f>
        <v/>
      </c>
    </row>
    <row r="456">
      <c r="A456" s="6" t="inlineStr">
        <is>
          <t>L23</t>
        </is>
      </c>
      <c r="B456" s="6" t="inlineStr">
        <is>
          <t>strong</t>
        </is>
      </c>
      <c r="C456" s="6" t="inlineStr">
        <is>
          <t>Risk — Compliance</t>
        </is>
      </c>
      <c r="D456" s="6" t="inlineStr"/>
      <c r="E456" s="6">
        <f>IFERROR(INDEX('Annotator A'!$Q$5:$Q$44,MATCH($A456,'Annotator A'!$A$5:$A$44,0))&amp;"","")</f>
        <v/>
      </c>
      <c r="F456" s="6">
        <f>IFERROR(INDEX('Annotator B'!$Q$5:$Q$44,MATCH($A456,'Annotator B'!$A$5:$A$44,0))&amp;"","")</f>
        <v/>
      </c>
      <c r="G456" s="6">
        <f>IF(AND(E456="",F456=""),"",IF(E456=F456,"agree","DIFFER"))</f>
        <v/>
      </c>
      <c r="H456" s="7" t="n"/>
      <c r="I456" s="6">
        <f>IF(H456&lt;&gt;"",H456,IF(G456="agree",E456,""))</f>
        <v/>
      </c>
    </row>
    <row r="457">
      <c r="A457" s="6" t="inlineStr">
        <is>
          <t>L23</t>
        </is>
      </c>
      <c r="B457" s="6" t="inlineStr">
        <is>
          <t>strong</t>
        </is>
      </c>
      <c r="C457" s="6" t="inlineStr">
        <is>
          <t>Risk — Financial</t>
        </is>
      </c>
      <c r="D457" s="6" t="inlineStr"/>
      <c r="E457" s="6">
        <f>IFERROR(INDEX('Annotator A'!$R$5:$R$44,MATCH($A457,'Annotator A'!$A$5:$A$44,0))&amp;"","")</f>
        <v/>
      </c>
      <c r="F457" s="6">
        <f>IFERROR(INDEX('Annotator B'!$R$5:$R$44,MATCH($A457,'Annotator B'!$A$5:$A$44,0))&amp;"","")</f>
        <v/>
      </c>
      <c r="G457" s="6">
        <f>IF(AND(E457="",F457=""),"",IF(E457=F457,"agree","DIFFER"))</f>
        <v/>
      </c>
      <c r="H457" s="7" t="n"/>
      <c r="I457" s="6">
        <f>IF(H457&lt;&gt;"",H457,IF(G457="agree",E457,""))</f>
        <v/>
      </c>
    </row>
    <row r="458">
      <c r="A458" s="6" t="inlineStr">
        <is>
          <t>L23</t>
        </is>
      </c>
      <c r="B458" s="6" t="inlineStr">
        <is>
          <t>strong</t>
        </is>
      </c>
      <c r="C458" s="6" t="inlineStr">
        <is>
          <t>Risk — Operational</t>
        </is>
      </c>
      <c r="D458" s="6" t="inlineStr"/>
      <c r="E458" s="6">
        <f>IFERROR(INDEX('Annotator A'!$S$5:$S$44,MATCH($A458,'Annotator A'!$A$5:$A$44,0))&amp;"","")</f>
        <v/>
      </c>
      <c r="F458" s="6">
        <f>IFERROR(INDEX('Annotator B'!$S$5:$S$44,MATCH($A458,'Annotator B'!$A$5:$A$44,0))&amp;"","")</f>
        <v/>
      </c>
      <c r="G458" s="6">
        <f>IF(AND(E458="",F458=""),"",IF(E458=F458,"agree","DIFFER"))</f>
        <v/>
      </c>
      <c r="H458" s="7" t="n"/>
      <c r="I458" s="6">
        <f>IF(H458&lt;&gt;"",H458,IF(G458="agree",E458,""))</f>
        <v/>
      </c>
    </row>
    <row r="459">
      <c r="A459" s="6" t="inlineStr">
        <is>
          <t>L23</t>
        </is>
      </c>
      <c r="B459" s="6" t="inlineStr">
        <is>
          <t>strong</t>
        </is>
      </c>
      <c r="C459" s="6" t="inlineStr">
        <is>
          <t>Risk — Adoption</t>
        </is>
      </c>
      <c r="D459" s="6" t="inlineStr"/>
      <c r="E459" s="6">
        <f>IFERROR(INDEX('Annotator A'!$T$5:$T$44,MATCH($A459,'Annotator A'!$A$5:$A$44,0))&amp;"","")</f>
        <v/>
      </c>
      <c r="F459" s="6">
        <f>IFERROR(INDEX('Annotator B'!$T$5:$T$44,MATCH($A459,'Annotator B'!$A$5:$A$44,0))&amp;"","")</f>
        <v/>
      </c>
      <c r="G459" s="6">
        <f>IF(AND(E459="",F459=""),"",IF(E459=F459,"agree","DIFFER"))</f>
        <v/>
      </c>
      <c r="H459" s="7" t="n"/>
      <c r="I459" s="6">
        <f>IF(H459&lt;&gt;"",H459,IF(G459="agree",E459,""))</f>
        <v/>
      </c>
    </row>
    <row r="460">
      <c r="A460" s="6" t="inlineStr">
        <is>
          <t>L23</t>
        </is>
      </c>
      <c r="B460" s="6" t="inlineStr">
        <is>
          <t>strong</t>
        </is>
      </c>
      <c r="C460" s="6" t="inlineStr">
        <is>
          <t>Risk — Data</t>
        </is>
      </c>
      <c r="D460" s="6" t="inlineStr"/>
      <c r="E460" s="6">
        <f>IFERROR(INDEX('Annotator A'!$U$5:$U$44,MATCH($A460,'Annotator A'!$A$5:$A$44,0))&amp;"","")</f>
        <v/>
      </c>
      <c r="F460" s="6">
        <f>IFERROR(INDEX('Annotator B'!$U$5:$U$44,MATCH($A460,'Annotator B'!$A$5:$A$44,0))&amp;"","")</f>
        <v/>
      </c>
      <c r="G460" s="6">
        <f>IF(AND(E460="",F460=""),"",IF(E460=F460,"agree","DIFFER"))</f>
        <v/>
      </c>
      <c r="H460" s="7" t="n"/>
      <c r="I460" s="6">
        <f>IF(H460&lt;&gt;"",H460,IF(G460="agree",E460,""))</f>
        <v/>
      </c>
    </row>
    <row r="461">
      <c r="A461" s="6" t="inlineStr">
        <is>
          <t>L23</t>
        </is>
      </c>
      <c r="B461" s="6" t="inlineStr">
        <is>
          <t>strong</t>
        </is>
      </c>
      <c r="C461" s="6" t="inlineStr">
        <is>
          <t>Risk — Vendor</t>
        </is>
      </c>
      <c r="D461" s="6" t="inlineStr"/>
      <c r="E461" s="6">
        <f>IFERROR(INDEX('Annotator A'!$V$5:$V$44,MATCH($A461,'Annotator A'!$A$5:$A$44,0))&amp;"","")</f>
        <v/>
      </c>
      <c r="F461" s="6">
        <f>IFERROR(INDEX('Annotator B'!$V$5:$V$44,MATCH($A461,'Annotator B'!$A$5:$A$44,0))&amp;"","")</f>
        <v/>
      </c>
      <c r="G461" s="6">
        <f>IF(AND(E461="",F461=""),"",IF(E461=F461,"agree","DIFFER"))</f>
        <v/>
      </c>
      <c r="H461" s="7" t="n"/>
      <c r="I461" s="6">
        <f>IF(H461&lt;&gt;"",H461,IF(G461="agree",E461,""))</f>
        <v/>
      </c>
    </row>
    <row r="462">
      <c r="A462" s="6" t="inlineStr">
        <is>
          <t>L24</t>
        </is>
      </c>
      <c r="B462" s="6" t="inlineStr">
        <is>
          <t>near-duplicate</t>
        </is>
      </c>
      <c r="C462" s="6" t="inlineStr">
        <is>
          <t>Use cases</t>
        </is>
      </c>
      <c r="D462" s="6" t="inlineStr">
        <is>
          <t>standard meeting-notes template with owner and due date per action item</t>
        </is>
      </c>
      <c r="E462" s="6">
        <f>IFERROR(INDEX('Annotator A'!$C$5:$C$44,MATCH($A462,'Annotator A'!$A$5:$A$44,0))&amp;"","")</f>
        <v/>
      </c>
      <c r="F462" s="6">
        <f>IFERROR(INDEX('Annotator B'!$C$5:$C$44,MATCH($A462,'Annotator B'!$A$5:$A$44,0))&amp;"","")</f>
        <v/>
      </c>
      <c r="G462" s="6" t="inlineStr">
        <is>
          <t>read both</t>
        </is>
      </c>
      <c r="H462" s="7" t="n"/>
      <c r="I462" s="6">
        <f>IF(H462&lt;&gt;"",H462,"")</f>
        <v/>
      </c>
    </row>
    <row r="463">
      <c r="A463" s="6" t="inlineStr">
        <is>
          <t>L24</t>
        </is>
      </c>
      <c r="B463" s="6" t="inlineStr">
        <is>
          <t>near-duplicate</t>
        </is>
      </c>
      <c r="C463" s="6" t="inlineStr">
        <is>
          <t>Value — Business impact</t>
        </is>
      </c>
      <c r="D463" s="6" t="inlineStr"/>
      <c r="E463" s="6">
        <f>IFERROR(INDEX('Annotator A'!$D$5:$D$44,MATCH($A463,'Annotator A'!$A$5:$A$44,0))&amp;"","")</f>
        <v/>
      </c>
      <c r="F463" s="6">
        <f>IFERROR(INDEX('Annotator B'!$D$5:$D$44,MATCH($A463,'Annotator B'!$A$5:$A$44,0))&amp;"","")</f>
        <v/>
      </c>
      <c r="G463" s="6">
        <f>IF(AND(E463="",F463=""),"",IF(E463=F463,"agree","DIFFER"))</f>
        <v/>
      </c>
      <c r="H463" s="7" t="n"/>
      <c r="I463" s="6">
        <f>IF(H463&lt;&gt;"",H463,IF(G463="agree",E463,""))</f>
        <v/>
      </c>
    </row>
    <row r="464">
      <c r="A464" s="6" t="inlineStr">
        <is>
          <t>L24</t>
        </is>
      </c>
      <c r="B464" s="6" t="inlineStr">
        <is>
          <t>near-duplicate</t>
        </is>
      </c>
      <c r="C464" s="6" t="inlineStr">
        <is>
          <t>Value — Productivity</t>
        </is>
      </c>
      <c r="D464" s="6" t="inlineStr">
        <is>
          <t>Low</t>
        </is>
      </c>
      <c r="E464" s="6">
        <f>IFERROR(INDEX('Annotator A'!$E$5:$E$44,MATCH($A464,'Annotator A'!$A$5:$A$44,0))&amp;"","")</f>
        <v/>
      </c>
      <c r="F464" s="6">
        <f>IFERROR(INDEX('Annotator B'!$E$5:$E$44,MATCH($A464,'Annotator B'!$A$5:$A$44,0))&amp;"","")</f>
        <v/>
      </c>
      <c r="G464" s="6">
        <f>IF(AND(E464="",F464=""),"",IF(E464=F464,"agree","DIFFER"))</f>
        <v/>
      </c>
      <c r="H464" s="7" t="n"/>
      <c r="I464" s="6">
        <f>IF(H464&lt;&gt;"",H464,IF(G464="agree",E464,""))</f>
        <v/>
      </c>
    </row>
    <row r="465">
      <c r="A465" s="6" t="inlineStr">
        <is>
          <t>L24</t>
        </is>
      </c>
      <c r="B465" s="6" t="inlineStr">
        <is>
          <t>near-duplicate</t>
        </is>
      </c>
      <c r="C465" s="6" t="inlineStr">
        <is>
          <t>Value — Cost reduction</t>
        </is>
      </c>
      <c r="D465" s="6" t="inlineStr"/>
      <c r="E465" s="6">
        <f>IFERROR(INDEX('Annotator A'!$F$5:$F$44,MATCH($A465,'Annotator A'!$A$5:$A$44,0))&amp;"","")</f>
        <v/>
      </c>
      <c r="F465" s="6">
        <f>IFERROR(INDEX('Annotator B'!$F$5:$F$44,MATCH($A465,'Annotator B'!$A$5:$A$44,0))&amp;"","")</f>
        <v/>
      </c>
      <c r="G465" s="6">
        <f>IF(AND(E465="",F465=""),"",IF(E465=F465,"agree","DIFFER"))</f>
        <v/>
      </c>
      <c r="H465" s="7" t="n"/>
      <c r="I465" s="6">
        <f>IF(H465&lt;&gt;"",H465,IF(G465="agree",E465,""))</f>
        <v/>
      </c>
    </row>
    <row r="466">
      <c r="A466" s="6" t="inlineStr">
        <is>
          <t>L24</t>
        </is>
      </c>
      <c r="B466" s="6" t="inlineStr">
        <is>
          <t>near-duplicate</t>
        </is>
      </c>
      <c r="C466" s="6" t="inlineStr">
        <is>
          <t>Value — Revenue</t>
        </is>
      </c>
      <c r="D466" s="6" t="inlineStr"/>
      <c r="E466" s="6">
        <f>IFERROR(INDEX('Annotator A'!$G$5:$G$44,MATCH($A466,'Annotator A'!$A$5:$A$44,0))&amp;"","")</f>
        <v/>
      </c>
      <c r="F466" s="6">
        <f>IFERROR(INDEX('Annotator B'!$G$5:$G$44,MATCH($A466,'Annotator B'!$A$5:$A$44,0))&amp;"","")</f>
        <v/>
      </c>
      <c r="G466" s="6">
        <f>IF(AND(E466="",F466=""),"",IF(E466=F466,"agree","DIFFER"))</f>
        <v/>
      </c>
      <c r="H466" s="7" t="n"/>
      <c r="I466" s="6">
        <f>IF(H466&lt;&gt;"",H466,IF(G466="agree",E466,""))</f>
        <v/>
      </c>
    </row>
    <row r="467">
      <c r="A467" s="6" t="inlineStr">
        <is>
          <t>L24</t>
        </is>
      </c>
      <c r="B467" s="6" t="inlineStr">
        <is>
          <t>near-duplicate</t>
        </is>
      </c>
      <c r="C467" s="6" t="inlineStr">
        <is>
          <t>Value — Employee experience</t>
        </is>
      </c>
      <c r="D467" s="6" t="inlineStr"/>
      <c r="E467" s="6">
        <f>IFERROR(INDEX('Annotator A'!$H$5:$H$44,MATCH($A467,'Annotator A'!$A$5:$A$44,0))&amp;"","")</f>
        <v/>
      </c>
      <c r="F467" s="6">
        <f>IFERROR(INDEX('Annotator B'!$H$5:$H$44,MATCH($A467,'Annotator B'!$A$5:$A$44,0))&amp;"","")</f>
        <v/>
      </c>
      <c r="G467" s="6">
        <f>IF(AND(E467="",F467=""),"",IF(E467=F467,"agree","DIFFER"))</f>
        <v/>
      </c>
      <c r="H467" s="7" t="n"/>
      <c r="I467" s="6">
        <f>IF(H467&lt;&gt;"",H467,IF(G467="agree",E467,""))</f>
        <v/>
      </c>
    </row>
    <row r="468">
      <c r="A468" s="6" t="inlineStr">
        <is>
          <t>L24</t>
        </is>
      </c>
      <c r="B468" s="6" t="inlineStr">
        <is>
          <t>near-duplicate</t>
        </is>
      </c>
      <c r="C468" s="6" t="inlineStr">
        <is>
          <t>Value — Customer impact</t>
        </is>
      </c>
      <c r="D468" s="6" t="inlineStr"/>
      <c r="E468" s="6">
        <f>IFERROR(INDEX('Annotator A'!$I$5:$I$44,MATCH($A468,'Annotator A'!$A$5:$A$44,0))&amp;"","")</f>
        <v/>
      </c>
      <c r="F468" s="6">
        <f>IFERROR(INDEX('Annotator B'!$I$5:$I$44,MATCH($A468,'Annotator B'!$A$5:$A$44,0))&amp;"","")</f>
        <v/>
      </c>
      <c r="G468" s="6">
        <f>IF(AND(E468="",F468=""),"",IF(E468=F468,"agree","DIFFER"))</f>
        <v/>
      </c>
      <c r="H468" s="7" t="n"/>
      <c r="I468" s="6">
        <f>IF(H468&lt;&gt;"",H468,IF(G468="agree",E468,""))</f>
        <v/>
      </c>
    </row>
    <row r="469">
      <c r="A469" s="6" t="inlineStr">
        <is>
          <t>L24</t>
        </is>
      </c>
      <c r="B469" s="6" t="inlineStr">
        <is>
          <t>near-duplicate</t>
        </is>
      </c>
      <c r="C469" s="6" t="inlineStr">
        <is>
          <t>Value — Operational</t>
        </is>
      </c>
      <c r="D469" s="6" t="inlineStr"/>
      <c r="E469" s="6">
        <f>IFERROR(INDEX('Annotator A'!$J$5:$J$44,MATCH($A469,'Annotator A'!$A$5:$A$44,0))&amp;"","")</f>
        <v/>
      </c>
      <c r="F469" s="6">
        <f>IFERROR(INDEX('Annotator B'!$J$5:$J$44,MATCH($A469,'Annotator B'!$A$5:$A$44,0))&amp;"","")</f>
        <v/>
      </c>
      <c r="G469" s="6">
        <f>IF(AND(E469="",F469=""),"",IF(E469=F469,"agree","DIFFER"))</f>
        <v/>
      </c>
      <c r="H469" s="7" t="n"/>
      <c r="I469" s="6">
        <f>IF(H469&lt;&gt;"",H469,IF(G469="agree",E469,""))</f>
        <v/>
      </c>
    </row>
    <row r="470">
      <c r="A470" s="6" t="inlineStr">
        <is>
          <t>L24</t>
        </is>
      </c>
      <c r="B470" s="6" t="inlineStr">
        <is>
          <t>near-duplicate</t>
        </is>
      </c>
      <c r="C470" s="6" t="inlineStr">
        <is>
          <t>Value — Problem severity</t>
        </is>
      </c>
      <c r="D470" s="6" t="inlineStr"/>
      <c r="E470" s="6">
        <f>IFERROR(INDEX('Annotator A'!$K$5:$K$44,MATCH($A470,'Annotator A'!$A$5:$A$44,0))&amp;"","")</f>
        <v/>
      </c>
      <c r="F470" s="6">
        <f>IFERROR(INDEX('Annotator B'!$K$5:$K$44,MATCH($A470,'Annotator B'!$A$5:$A$44,0))&amp;"","")</f>
        <v/>
      </c>
      <c r="G470" s="6">
        <f>IF(AND(E470="",F470=""),"",IF(E470=F470,"agree","DIFFER"))</f>
        <v/>
      </c>
      <c r="H470" s="7" t="n"/>
      <c r="I470" s="6">
        <f>IF(H470&lt;&gt;"",H470,IF(G470="agree",E470,""))</f>
        <v/>
      </c>
    </row>
    <row r="471">
      <c r="A471" s="6" t="inlineStr">
        <is>
          <t>L24</t>
        </is>
      </c>
      <c r="B471" s="6" t="inlineStr">
        <is>
          <t>near-duplicate</t>
        </is>
      </c>
      <c r="C471" s="6" t="inlineStr">
        <is>
          <t>Value — Problem frequency</t>
        </is>
      </c>
      <c r="D471" s="6" t="inlineStr">
        <is>
          <t>Moderate</t>
        </is>
      </c>
      <c r="E471" s="6">
        <f>IFERROR(INDEX('Annotator A'!$L$5:$L$44,MATCH($A471,'Annotator A'!$A$5:$A$44,0))&amp;"","")</f>
        <v/>
      </c>
      <c r="F471" s="6">
        <f>IFERROR(INDEX('Annotator B'!$L$5:$L$44,MATCH($A471,'Annotator B'!$A$5:$A$44,0))&amp;"","")</f>
        <v/>
      </c>
      <c r="G471" s="6">
        <f>IF(AND(E471="",F471=""),"",IF(E471=F471,"agree","DIFFER"))</f>
        <v/>
      </c>
      <c r="H471" s="7" t="n"/>
      <c r="I471" s="6">
        <f>IF(H471&lt;&gt;"",H471,IF(G471="agree",E471,""))</f>
        <v/>
      </c>
    </row>
    <row r="472">
      <c r="A472" s="6" t="inlineStr">
        <is>
          <t>L24</t>
        </is>
      </c>
      <c r="B472" s="6" t="inlineStr">
        <is>
          <t>near-duplicate</t>
        </is>
      </c>
      <c r="C472" s="6" t="inlineStr">
        <is>
          <t>Feasibility status</t>
        </is>
      </c>
      <c r="D472" s="6" t="inlineStr">
        <is>
          <t>HIGHLY_FEASIBLE</t>
        </is>
      </c>
      <c r="E472" s="6">
        <f>IFERROR(INDEX('Annotator A'!$M$5:$M$44,MATCH($A472,'Annotator A'!$A$5:$A$44,0))&amp;"","")</f>
        <v/>
      </c>
      <c r="F472" s="6">
        <f>IFERROR(INDEX('Annotator B'!$M$5:$M$44,MATCH($A472,'Annotator B'!$A$5:$A$44,0))&amp;"","")</f>
        <v/>
      </c>
      <c r="G472" s="6">
        <f>IF(AND(E472="",F472=""),"",IF(E472=F472,"agree","DIFFER"))</f>
        <v/>
      </c>
      <c r="H472" s="7" t="n"/>
      <c r="I472" s="6">
        <f>IF(H472&lt;&gt;"",H472,IF(G472="agree",E472,""))</f>
        <v/>
      </c>
    </row>
    <row r="473">
      <c r="A473" s="6" t="inlineStr">
        <is>
          <t>L24</t>
        </is>
      </c>
      <c r="B473" s="6" t="inlineStr">
        <is>
          <t>near-duplicate</t>
        </is>
      </c>
      <c r="C473" s="6" t="inlineStr">
        <is>
          <t>Risk — Technical</t>
        </is>
      </c>
      <c r="D473" s="6" t="inlineStr"/>
      <c r="E473" s="6">
        <f>IFERROR(INDEX('Annotator A'!$N$5:$N$44,MATCH($A473,'Annotator A'!$A$5:$A$44,0))&amp;"","")</f>
        <v/>
      </c>
      <c r="F473" s="6">
        <f>IFERROR(INDEX('Annotator B'!$N$5:$N$44,MATCH($A473,'Annotator B'!$A$5:$A$44,0))&amp;"","")</f>
        <v/>
      </c>
      <c r="G473" s="6">
        <f>IF(AND(E473="",F473=""),"",IF(E473=F473,"agree","DIFFER"))</f>
        <v/>
      </c>
      <c r="H473" s="7" t="n"/>
      <c r="I473" s="6">
        <f>IF(H473&lt;&gt;"",H473,IF(G473="agree",E473,""))</f>
        <v/>
      </c>
    </row>
    <row r="474">
      <c r="A474" s="6" t="inlineStr">
        <is>
          <t>L24</t>
        </is>
      </c>
      <c r="B474" s="6" t="inlineStr">
        <is>
          <t>near-duplicate</t>
        </is>
      </c>
      <c r="C474" s="6" t="inlineStr">
        <is>
          <t>Risk — Security</t>
        </is>
      </c>
      <c r="D474" s="6" t="inlineStr"/>
      <c r="E474" s="6">
        <f>IFERROR(INDEX('Annotator A'!$O$5:$O$44,MATCH($A474,'Annotator A'!$A$5:$A$44,0))&amp;"","")</f>
        <v/>
      </c>
      <c r="F474" s="6">
        <f>IFERROR(INDEX('Annotator B'!$O$5:$O$44,MATCH($A474,'Annotator B'!$A$5:$A$44,0))&amp;"","")</f>
        <v/>
      </c>
      <c r="G474" s="6">
        <f>IF(AND(E474="",F474=""),"",IF(E474=F474,"agree","DIFFER"))</f>
        <v/>
      </c>
      <c r="H474" s="7" t="n"/>
      <c r="I474" s="6">
        <f>IF(H474&lt;&gt;"",H474,IF(G474="agree",E474,""))</f>
        <v/>
      </c>
    </row>
    <row r="475">
      <c r="A475" s="6" t="inlineStr">
        <is>
          <t>L24</t>
        </is>
      </c>
      <c r="B475" s="6" t="inlineStr">
        <is>
          <t>near-duplicate</t>
        </is>
      </c>
      <c r="C475" s="6" t="inlineStr">
        <is>
          <t>Risk — Privacy</t>
        </is>
      </c>
      <c r="D475" s="6" t="inlineStr"/>
      <c r="E475" s="6">
        <f>IFERROR(INDEX('Annotator A'!$P$5:$P$44,MATCH($A475,'Annotator A'!$A$5:$A$44,0))&amp;"","")</f>
        <v/>
      </c>
      <c r="F475" s="6">
        <f>IFERROR(INDEX('Annotator B'!$P$5:$P$44,MATCH($A475,'Annotator B'!$A$5:$A$44,0))&amp;"","")</f>
        <v/>
      </c>
      <c r="G475" s="6">
        <f>IF(AND(E475="",F475=""),"",IF(E475=F475,"agree","DIFFER"))</f>
        <v/>
      </c>
      <c r="H475" s="7" t="n"/>
      <c r="I475" s="6">
        <f>IF(H475&lt;&gt;"",H475,IF(G475="agree",E475,""))</f>
        <v/>
      </c>
    </row>
    <row r="476">
      <c r="A476" s="6" t="inlineStr">
        <is>
          <t>L24</t>
        </is>
      </c>
      <c r="B476" s="6" t="inlineStr">
        <is>
          <t>near-duplicate</t>
        </is>
      </c>
      <c r="C476" s="6" t="inlineStr">
        <is>
          <t>Risk — Compliance</t>
        </is>
      </c>
      <c r="D476" s="6" t="inlineStr"/>
      <c r="E476" s="6">
        <f>IFERROR(INDEX('Annotator A'!$Q$5:$Q$44,MATCH($A476,'Annotator A'!$A$5:$A$44,0))&amp;"","")</f>
        <v/>
      </c>
      <c r="F476" s="6">
        <f>IFERROR(INDEX('Annotator B'!$Q$5:$Q$44,MATCH($A476,'Annotator B'!$A$5:$A$44,0))&amp;"","")</f>
        <v/>
      </c>
      <c r="G476" s="6">
        <f>IF(AND(E476="",F476=""),"",IF(E476=F476,"agree","DIFFER"))</f>
        <v/>
      </c>
      <c r="H476" s="7" t="n"/>
      <c r="I476" s="6">
        <f>IF(H476&lt;&gt;"",H476,IF(G476="agree",E476,""))</f>
        <v/>
      </c>
    </row>
    <row r="477">
      <c r="A477" s="6" t="inlineStr">
        <is>
          <t>L24</t>
        </is>
      </c>
      <c r="B477" s="6" t="inlineStr">
        <is>
          <t>near-duplicate</t>
        </is>
      </c>
      <c r="C477" s="6" t="inlineStr">
        <is>
          <t>Risk — Financial</t>
        </is>
      </c>
      <c r="D477" s="6" t="inlineStr"/>
      <c r="E477" s="6">
        <f>IFERROR(INDEX('Annotator A'!$R$5:$R$44,MATCH($A477,'Annotator A'!$A$5:$A$44,0))&amp;"","")</f>
        <v/>
      </c>
      <c r="F477" s="6">
        <f>IFERROR(INDEX('Annotator B'!$R$5:$R$44,MATCH($A477,'Annotator B'!$A$5:$A$44,0))&amp;"","")</f>
        <v/>
      </c>
      <c r="G477" s="6">
        <f>IF(AND(E477="",F477=""),"",IF(E477=F477,"agree","DIFFER"))</f>
        <v/>
      </c>
      <c r="H477" s="7" t="n"/>
      <c r="I477" s="6">
        <f>IF(H477&lt;&gt;"",H477,IF(G477="agree",E477,""))</f>
        <v/>
      </c>
    </row>
    <row r="478">
      <c r="A478" s="6" t="inlineStr">
        <is>
          <t>L24</t>
        </is>
      </c>
      <c r="B478" s="6" t="inlineStr">
        <is>
          <t>near-duplicate</t>
        </is>
      </c>
      <c r="C478" s="6" t="inlineStr">
        <is>
          <t>Risk — Operational</t>
        </is>
      </c>
      <c r="D478" s="6" t="inlineStr"/>
      <c r="E478" s="6">
        <f>IFERROR(INDEX('Annotator A'!$S$5:$S$44,MATCH($A478,'Annotator A'!$A$5:$A$44,0))&amp;"","")</f>
        <v/>
      </c>
      <c r="F478" s="6">
        <f>IFERROR(INDEX('Annotator B'!$S$5:$S$44,MATCH($A478,'Annotator B'!$A$5:$A$44,0))&amp;"","")</f>
        <v/>
      </c>
      <c r="G478" s="6">
        <f>IF(AND(E478="",F478=""),"",IF(E478=F478,"agree","DIFFER"))</f>
        <v/>
      </c>
      <c r="H478" s="7" t="n"/>
      <c r="I478" s="6">
        <f>IF(H478&lt;&gt;"",H478,IF(G478="agree",E478,""))</f>
        <v/>
      </c>
    </row>
    <row r="479">
      <c r="A479" s="6" t="inlineStr">
        <is>
          <t>L24</t>
        </is>
      </c>
      <c r="B479" s="6" t="inlineStr">
        <is>
          <t>near-duplicate</t>
        </is>
      </c>
      <c r="C479" s="6" t="inlineStr">
        <is>
          <t>Risk — Adoption</t>
        </is>
      </c>
      <c r="D479" s="6" t="inlineStr"/>
      <c r="E479" s="6">
        <f>IFERROR(INDEX('Annotator A'!$T$5:$T$44,MATCH($A479,'Annotator A'!$A$5:$A$44,0))&amp;"","")</f>
        <v/>
      </c>
      <c r="F479" s="6">
        <f>IFERROR(INDEX('Annotator B'!$T$5:$T$44,MATCH($A479,'Annotator B'!$A$5:$A$44,0))&amp;"","")</f>
        <v/>
      </c>
      <c r="G479" s="6">
        <f>IF(AND(E479="",F479=""),"",IF(E479=F479,"agree","DIFFER"))</f>
        <v/>
      </c>
      <c r="H479" s="7" t="n"/>
      <c r="I479" s="6">
        <f>IF(H479&lt;&gt;"",H479,IF(G479="agree",E479,""))</f>
        <v/>
      </c>
    </row>
    <row r="480">
      <c r="A480" s="6" t="inlineStr">
        <is>
          <t>L24</t>
        </is>
      </c>
      <c r="B480" s="6" t="inlineStr">
        <is>
          <t>near-duplicate</t>
        </is>
      </c>
      <c r="C480" s="6" t="inlineStr">
        <is>
          <t>Risk — Data</t>
        </is>
      </c>
      <c r="D480" s="6" t="inlineStr"/>
      <c r="E480" s="6">
        <f>IFERROR(INDEX('Annotator A'!$U$5:$U$44,MATCH($A480,'Annotator A'!$A$5:$A$44,0))&amp;"","")</f>
        <v/>
      </c>
      <c r="F480" s="6">
        <f>IFERROR(INDEX('Annotator B'!$U$5:$U$44,MATCH($A480,'Annotator B'!$A$5:$A$44,0))&amp;"","")</f>
        <v/>
      </c>
      <c r="G480" s="6">
        <f>IF(AND(E480="",F480=""),"",IF(E480=F480,"agree","DIFFER"))</f>
        <v/>
      </c>
      <c r="H480" s="7" t="n"/>
      <c r="I480" s="6">
        <f>IF(H480&lt;&gt;"",H480,IF(G480="agree",E480,""))</f>
        <v/>
      </c>
    </row>
    <row r="481">
      <c r="A481" s="6" t="inlineStr">
        <is>
          <t>L24</t>
        </is>
      </c>
      <c r="B481" s="6" t="inlineStr">
        <is>
          <t>near-duplicate</t>
        </is>
      </c>
      <c r="C481" s="6" t="inlineStr">
        <is>
          <t>Risk — Vendor</t>
        </is>
      </c>
      <c r="D481" s="6" t="inlineStr"/>
      <c r="E481" s="6">
        <f>IFERROR(INDEX('Annotator A'!$V$5:$V$44,MATCH($A481,'Annotator A'!$A$5:$A$44,0))&amp;"","")</f>
        <v/>
      </c>
      <c r="F481" s="6">
        <f>IFERROR(INDEX('Annotator B'!$V$5:$V$44,MATCH($A481,'Annotator B'!$A$5:$A$44,0))&amp;"","")</f>
        <v/>
      </c>
      <c r="G481" s="6">
        <f>IF(AND(E481="",F481=""),"",IF(E481=F481,"agree","DIFFER"))</f>
        <v/>
      </c>
      <c r="H481" s="7" t="n"/>
      <c r="I481" s="6">
        <f>IF(H481&lt;&gt;"",H481,IF(G481="agree",E481,""))</f>
        <v/>
      </c>
    </row>
    <row r="482">
      <c r="A482" s="6" t="inlineStr">
        <is>
          <t>L25</t>
        </is>
      </c>
      <c r="B482" s="6" t="inlineStr">
        <is>
          <t>strong</t>
        </is>
      </c>
      <c r="C482" s="6" t="inlineStr">
        <is>
          <t>Use cases</t>
        </is>
      </c>
      <c r="D482" s="6" t="inlineStr">
        <is>
          <t>track vendor insurance and certification expiry centrally
block new work orders when a required document lapses</t>
        </is>
      </c>
      <c r="E482" s="6">
        <f>IFERROR(INDEX('Annotator A'!$C$5:$C$44,MATCH($A482,'Annotator A'!$A$5:$A$44,0))&amp;"","")</f>
        <v/>
      </c>
      <c r="F482" s="6">
        <f>IFERROR(INDEX('Annotator B'!$C$5:$C$44,MATCH($A482,'Annotator B'!$A$5:$A$44,0))&amp;"","")</f>
        <v/>
      </c>
      <c r="G482" s="6" t="inlineStr">
        <is>
          <t>read both</t>
        </is>
      </c>
      <c r="H482" s="7" t="n"/>
      <c r="I482" s="6">
        <f>IF(H482&lt;&gt;"",H482,"")</f>
        <v/>
      </c>
    </row>
    <row r="483">
      <c r="A483" s="6" t="inlineStr">
        <is>
          <t>L25</t>
        </is>
      </c>
      <c r="B483" s="6" t="inlineStr">
        <is>
          <t>strong</t>
        </is>
      </c>
      <c r="C483" s="6" t="inlineStr">
        <is>
          <t>Value — Business impact</t>
        </is>
      </c>
      <c r="D483" s="6" t="inlineStr"/>
      <c r="E483" s="6">
        <f>IFERROR(INDEX('Annotator A'!$D$5:$D$44,MATCH($A483,'Annotator A'!$A$5:$A$44,0))&amp;"","")</f>
        <v/>
      </c>
      <c r="F483" s="6">
        <f>IFERROR(INDEX('Annotator B'!$D$5:$D$44,MATCH($A483,'Annotator B'!$A$5:$A$44,0))&amp;"","")</f>
        <v/>
      </c>
      <c r="G483" s="6">
        <f>IF(AND(E483="",F483=""),"",IF(E483=F483,"agree","DIFFER"))</f>
        <v/>
      </c>
      <c r="H483" s="7" t="n"/>
      <c r="I483" s="6">
        <f>IF(H483&lt;&gt;"",H483,IF(G483="agree",E483,""))</f>
        <v/>
      </c>
    </row>
    <row r="484">
      <c r="A484" s="6" t="inlineStr">
        <is>
          <t>L25</t>
        </is>
      </c>
      <c r="B484" s="6" t="inlineStr">
        <is>
          <t>strong</t>
        </is>
      </c>
      <c r="C484" s="6" t="inlineStr">
        <is>
          <t>Value — Productivity</t>
        </is>
      </c>
      <c r="D484" s="6" t="inlineStr"/>
      <c r="E484" s="6">
        <f>IFERROR(INDEX('Annotator A'!$E$5:$E$44,MATCH($A484,'Annotator A'!$A$5:$A$44,0))&amp;"","")</f>
        <v/>
      </c>
      <c r="F484" s="6">
        <f>IFERROR(INDEX('Annotator B'!$E$5:$E$44,MATCH($A484,'Annotator B'!$A$5:$A$44,0))&amp;"","")</f>
        <v/>
      </c>
      <c r="G484" s="6">
        <f>IF(AND(E484="",F484=""),"",IF(E484=F484,"agree","DIFFER"))</f>
        <v/>
      </c>
      <c r="H484" s="7" t="n"/>
      <c r="I484" s="6">
        <f>IF(H484&lt;&gt;"",H484,IF(G484="agree",E484,""))</f>
        <v/>
      </c>
    </row>
    <row r="485">
      <c r="A485" s="6" t="inlineStr">
        <is>
          <t>L25</t>
        </is>
      </c>
      <c r="B485" s="6" t="inlineStr">
        <is>
          <t>strong</t>
        </is>
      </c>
      <c r="C485" s="6" t="inlineStr">
        <is>
          <t>Value — Cost reduction</t>
        </is>
      </c>
      <c r="D485" s="6" t="inlineStr"/>
      <c r="E485" s="6">
        <f>IFERROR(INDEX('Annotator A'!$F$5:$F$44,MATCH($A485,'Annotator A'!$A$5:$A$44,0))&amp;"","")</f>
        <v/>
      </c>
      <c r="F485" s="6">
        <f>IFERROR(INDEX('Annotator B'!$F$5:$F$44,MATCH($A485,'Annotator B'!$A$5:$A$44,0))&amp;"","")</f>
        <v/>
      </c>
      <c r="G485" s="6">
        <f>IF(AND(E485="",F485=""),"",IF(E485=F485,"agree","DIFFER"))</f>
        <v/>
      </c>
      <c r="H485" s="7" t="n"/>
      <c r="I485" s="6">
        <f>IF(H485&lt;&gt;"",H485,IF(G485="agree",E485,""))</f>
        <v/>
      </c>
    </row>
    <row r="486">
      <c r="A486" s="6" t="inlineStr">
        <is>
          <t>L25</t>
        </is>
      </c>
      <c r="B486" s="6" t="inlineStr">
        <is>
          <t>strong</t>
        </is>
      </c>
      <c r="C486" s="6" t="inlineStr">
        <is>
          <t>Value — Revenue</t>
        </is>
      </c>
      <c r="D486" s="6" t="inlineStr"/>
      <c r="E486" s="6">
        <f>IFERROR(INDEX('Annotator A'!$G$5:$G$44,MATCH($A486,'Annotator A'!$A$5:$A$44,0))&amp;"","")</f>
        <v/>
      </c>
      <c r="F486" s="6">
        <f>IFERROR(INDEX('Annotator B'!$G$5:$G$44,MATCH($A486,'Annotator B'!$A$5:$A$44,0))&amp;"","")</f>
        <v/>
      </c>
      <c r="G486" s="6">
        <f>IF(AND(E486="",F486=""),"",IF(E486=F486,"agree","DIFFER"))</f>
        <v/>
      </c>
      <c r="H486" s="7" t="n"/>
      <c r="I486" s="6">
        <f>IF(H486&lt;&gt;"",H486,IF(G486="agree",E486,""))</f>
        <v/>
      </c>
    </row>
    <row r="487">
      <c r="A487" s="6" t="inlineStr">
        <is>
          <t>L25</t>
        </is>
      </c>
      <c r="B487" s="6" t="inlineStr">
        <is>
          <t>strong</t>
        </is>
      </c>
      <c r="C487" s="6" t="inlineStr">
        <is>
          <t>Value — Employee experience</t>
        </is>
      </c>
      <c r="D487" s="6" t="inlineStr"/>
      <c r="E487" s="6">
        <f>IFERROR(INDEX('Annotator A'!$H$5:$H$44,MATCH($A487,'Annotator A'!$A$5:$A$44,0))&amp;"","")</f>
        <v/>
      </c>
      <c r="F487" s="6">
        <f>IFERROR(INDEX('Annotator B'!$H$5:$H$44,MATCH($A487,'Annotator B'!$A$5:$A$44,0))&amp;"","")</f>
        <v/>
      </c>
      <c r="G487" s="6">
        <f>IF(AND(E487="",F487=""),"",IF(E487=F487,"agree","DIFFER"))</f>
        <v/>
      </c>
      <c r="H487" s="7" t="n"/>
      <c r="I487" s="6">
        <f>IF(H487&lt;&gt;"",H487,IF(G487="agree",E487,""))</f>
        <v/>
      </c>
    </row>
    <row r="488">
      <c r="A488" s="6" t="inlineStr">
        <is>
          <t>L25</t>
        </is>
      </c>
      <c r="B488" s="6" t="inlineStr">
        <is>
          <t>strong</t>
        </is>
      </c>
      <c r="C488" s="6" t="inlineStr">
        <is>
          <t>Value — Customer impact</t>
        </is>
      </c>
      <c r="D488" s="6" t="inlineStr"/>
      <c r="E488" s="6">
        <f>IFERROR(INDEX('Annotator A'!$I$5:$I$44,MATCH($A488,'Annotator A'!$A$5:$A$44,0))&amp;"","")</f>
        <v/>
      </c>
      <c r="F488" s="6">
        <f>IFERROR(INDEX('Annotator B'!$I$5:$I$44,MATCH($A488,'Annotator B'!$A$5:$A$44,0))&amp;"","")</f>
        <v/>
      </c>
      <c r="G488" s="6">
        <f>IF(AND(E488="",F488=""),"",IF(E488=F488,"agree","DIFFER"))</f>
        <v/>
      </c>
      <c r="H488" s="7" t="n"/>
      <c r="I488" s="6">
        <f>IF(H488&lt;&gt;"",H488,IF(G488="agree",E488,""))</f>
        <v/>
      </c>
    </row>
    <row r="489">
      <c r="A489" s="6" t="inlineStr">
        <is>
          <t>L25</t>
        </is>
      </c>
      <c r="B489" s="6" t="inlineStr">
        <is>
          <t>strong</t>
        </is>
      </c>
      <c r="C489" s="6" t="inlineStr">
        <is>
          <t>Value — Operational</t>
        </is>
      </c>
      <c r="D489" s="6" t="inlineStr"/>
      <c r="E489" s="6">
        <f>IFERROR(INDEX('Annotator A'!$J$5:$J$44,MATCH($A489,'Annotator A'!$A$5:$A$44,0))&amp;"","")</f>
        <v/>
      </c>
      <c r="F489" s="6">
        <f>IFERROR(INDEX('Annotator B'!$J$5:$J$44,MATCH($A489,'Annotator B'!$A$5:$A$44,0))&amp;"","")</f>
        <v/>
      </c>
      <c r="G489" s="6">
        <f>IF(AND(E489="",F489=""),"",IF(E489=F489,"agree","DIFFER"))</f>
        <v/>
      </c>
      <c r="H489" s="7" t="n"/>
      <c r="I489" s="6">
        <f>IF(H489&lt;&gt;"",H489,IF(G489="agree",E489,""))</f>
        <v/>
      </c>
    </row>
    <row r="490">
      <c r="A490" s="6" t="inlineStr">
        <is>
          <t>L25</t>
        </is>
      </c>
      <c r="B490" s="6" t="inlineStr">
        <is>
          <t>strong</t>
        </is>
      </c>
      <c r="C490" s="6" t="inlineStr">
        <is>
          <t>Value — Problem severity</t>
        </is>
      </c>
      <c r="D490" s="6" t="inlineStr">
        <is>
          <t>High</t>
        </is>
      </c>
      <c r="E490" s="6">
        <f>IFERROR(INDEX('Annotator A'!$K$5:$K$44,MATCH($A490,'Annotator A'!$A$5:$A$44,0))&amp;"","")</f>
        <v/>
      </c>
      <c r="F490" s="6">
        <f>IFERROR(INDEX('Annotator B'!$K$5:$K$44,MATCH($A490,'Annotator B'!$A$5:$A$44,0))&amp;"","")</f>
        <v/>
      </c>
      <c r="G490" s="6">
        <f>IF(AND(E490="",F490=""),"",IF(E490=F490,"agree","DIFFER"))</f>
        <v/>
      </c>
      <c r="H490" s="7" t="n"/>
      <c r="I490" s="6">
        <f>IF(H490&lt;&gt;"",H490,IF(G490="agree",E490,""))</f>
        <v/>
      </c>
    </row>
    <row r="491">
      <c r="A491" s="6" t="inlineStr">
        <is>
          <t>L25</t>
        </is>
      </c>
      <c r="B491" s="6" t="inlineStr">
        <is>
          <t>strong</t>
        </is>
      </c>
      <c r="C491" s="6" t="inlineStr">
        <is>
          <t>Value — Problem frequency</t>
        </is>
      </c>
      <c r="D491" s="6" t="inlineStr"/>
      <c r="E491" s="6">
        <f>IFERROR(INDEX('Annotator A'!$L$5:$L$44,MATCH($A491,'Annotator A'!$A$5:$A$44,0))&amp;"","")</f>
        <v/>
      </c>
      <c r="F491" s="6">
        <f>IFERROR(INDEX('Annotator B'!$L$5:$L$44,MATCH($A491,'Annotator B'!$A$5:$A$44,0))&amp;"","")</f>
        <v/>
      </c>
      <c r="G491" s="6">
        <f>IF(AND(E491="",F491=""),"",IF(E491=F491,"agree","DIFFER"))</f>
        <v/>
      </c>
      <c r="H491" s="7" t="n"/>
      <c r="I491" s="6">
        <f>IF(H491&lt;&gt;"",H491,IF(G491="agree",E491,""))</f>
        <v/>
      </c>
    </row>
    <row r="492">
      <c r="A492" s="6" t="inlineStr">
        <is>
          <t>L25</t>
        </is>
      </c>
      <c r="B492" s="6" t="inlineStr">
        <is>
          <t>strong</t>
        </is>
      </c>
      <c r="C492" s="6" t="inlineStr">
        <is>
          <t>Feasibility status</t>
        </is>
      </c>
      <c r="D492" s="6" t="inlineStr">
        <is>
          <t>HIGHLY_FEASIBLE</t>
        </is>
      </c>
      <c r="E492" s="6">
        <f>IFERROR(INDEX('Annotator A'!$M$5:$M$44,MATCH($A492,'Annotator A'!$A$5:$A$44,0))&amp;"","")</f>
        <v/>
      </c>
      <c r="F492" s="6">
        <f>IFERROR(INDEX('Annotator B'!$M$5:$M$44,MATCH($A492,'Annotator B'!$A$5:$A$44,0))&amp;"","")</f>
        <v/>
      </c>
      <c r="G492" s="6">
        <f>IF(AND(E492="",F492=""),"",IF(E492=F492,"agree","DIFFER"))</f>
        <v/>
      </c>
      <c r="H492" s="7" t="n"/>
      <c r="I492" s="6">
        <f>IF(H492&lt;&gt;"",H492,IF(G492="agree",E492,""))</f>
        <v/>
      </c>
    </row>
    <row r="493">
      <c r="A493" s="6" t="inlineStr">
        <is>
          <t>L25</t>
        </is>
      </c>
      <c r="B493" s="6" t="inlineStr">
        <is>
          <t>strong</t>
        </is>
      </c>
      <c r="C493" s="6" t="inlineStr">
        <is>
          <t>Risk — Technical</t>
        </is>
      </c>
      <c r="D493" s="6" t="inlineStr"/>
      <c r="E493" s="6">
        <f>IFERROR(INDEX('Annotator A'!$N$5:$N$44,MATCH($A493,'Annotator A'!$A$5:$A$44,0))&amp;"","")</f>
        <v/>
      </c>
      <c r="F493" s="6">
        <f>IFERROR(INDEX('Annotator B'!$N$5:$N$44,MATCH($A493,'Annotator B'!$A$5:$A$44,0))&amp;"","")</f>
        <v/>
      </c>
      <c r="G493" s="6">
        <f>IF(AND(E493="",F493=""),"",IF(E493=F493,"agree","DIFFER"))</f>
        <v/>
      </c>
      <c r="H493" s="7" t="n"/>
      <c r="I493" s="6">
        <f>IF(H493&lt;&gt;"",H493,IF(G493="agree",E493,""))</f>
        <v/>
      </c>
    </row>
    <row r="494">
      <c r="A494" s="6" t="inlineStr">
        <is>
          <t>L25</t>
        </is>
      </c>
      <c r="B494" s="6" t="inlineStr">
        <is>
          <t>strong</t>
        </is>
      </c>
      <c r="C494" s="6" t="inlineStr">
        <is>
          <t>Risk — Security</t>
        </is>
      </c>
      <c r="D494" s="6" t="inlineStr"/>
      <c r="E494" s="6">
        <f>IFERROR(INDEX('Annotator A'!$O$5:$O$44,MATCH($A494,'Annotator A'!$A$5:$A$44,0))&amp;"","")</f>
        <v/>
      </c>
      <c r="F494" s="6">
        <f>IFERROR(INDEX('Annotator B'!$O$5:$O$44,MATCH($A494,'Annotator B'!$A$5:$A$44,0))&amp;"","")</f>
        <v/>
      </c>
      <c r="G494" s="6">
        <f>IF(AND(E494="",F494=""),"",IF(E494=F494,"agree","DIFFER"))</f>
        <v/>
      </c>
      <c r="H494" s="7" t="n"/>
      <c r="I494" s="6">
        <f>IF(H494&lt;&gt;"",H494,IF(G494="agree",E494,""))</f>
        <v/>
      </c>
    </row>
    <row r="495">
      <c r="A495" s="6" t="inlineStr">
        <is>
          <t>L25</t>
        </is>
      </c>
      <c r="B495" s="6" t="inlineStr">
        <is>
          <t>strong</t>
        </is>
      </c>
      <c r="C495" s="6" t="inlineStr">
        <is>
          <t>Risk — Privacy</t>
        </is>
      </c>
      <c r="D495" s="6" t="inlineStr"/>
      <c r="E495" s="6">
        <f>IFERROR(INDEX('Annotator A'!$P$5:$P$44,MATCH($A495,'Annotator A'!$A$5:$A$44,0))&amp;"","")</f>
        <v/>
      </c>
      <c r="F495" s="6">
        <f>IFERROR(INDEX('Annotator B'!$P$5:$P$44,MATCH($A495,'Annotator B'!$A$5:$A$44,0))&amp;"","")</f>
        <v/>
      </c>
      <c r="G495" s="6">
        <f>IF(AND(E495="",F495=""),"",IF(E495=F495,"agree","DIFFER"))</f>
        <v/>
      </c>
      <c r="H495" s="7" t="n"/>
      <c r="I495" s="6">
        <f>IF(H495&lt;&gt;"",H495,IF(G495="agree",E495,""))</f>
        <v/>
      </c>
    </row>
    <row r="496">
      <c r="A496" s="6" t="inlineStr">
        <is>
          <t>L25</t>
        </is>
      </c>
      <c r="B496" s="6" t="inlineStr">
        <is>
          <t>strong</t>
        </is>
      </c>
      <c r="C496" s="6" t="inlineStr">
        <is>
          <t>Risk — Compliance</t>
        </is>
      </c>
      <c r="D496" s="6" t="inlineStr">
        <is>
          <t>Yes</t>
        </is>
      </c>
      <c r="E496" s="6">
        <f>IFERROR(INDEX('Annotator A'!$Q$5:$Q$44,MATCH($A496,'Annotator A'!$A$5:$A$44,0))&amp;"","")</f>
        <v/>
      </c>
      <c r="F496" s="6">
        <f>IFERROR(INDEX('Annotator B'!$Q$5:$Q$44,MATCH($A496,'Annotator B'!$A$5:$A$44,0))&amp;"","")</f>
        <v/>
      </c>
      <c r="G496" s="6">
        <f>IF(AND(E496="",F496=""),"",IF(E496=F496,"agree","DIFFER"))</f>
        <v/>
      </c>
      <c r="H496" s="7" t="n"/>
      <c r="I496" s="6">
        <f>IF(H496&lt;&gt;"",H496,IF(G496="agree",E496,""))</f>
        <v/>
      </c>
    </row>
    <row r="497">
      <c r="A497" s="6" t="inlineStr">
        <is>
          <t>L25</t>
        </is>
      </c>
      <c r="B497" s="6" t="inlineStr">
        <is>
          <t>strong</t>
        </is>
      </c>
      <c r="C497" s="6" t="inlineStr">
        <is>
          <t>Risk — Financial</t>
        </is>
      </c>
      <c r="D497" s="6" t="inlineStr"/>
      <c r="E497" s="6">
        <f>IFERROR(INDEX('Annotator A'!$R$5:$R$44,MATCH($A497,'Annotator A'!$A$5:$A$44,0))&amp;"","")</f>
        <v/>
      </c>
      <c r="F497" s="6">
        <f>IFERROR(INDEX('Annotator B'!$R$5:$R$44,MATCH($A497,'Annotator B'!$A$5:$A$44,0))&amp;"","")</f>
        <v/>
      </c>
      <c r="G497" s="6">
        <f>IF(AND(E497="",F497=""),"",IF(E497=F497,"agree","DIFFER"))</f>
        <v/>
      </c>
      <c r="H497" s="7" t="n"/>
      <c r="I497" s="6">
        <f>IF(H497&lt;&gt;"",H497,IF(G497="agree",E497,""))</f>
        <v/>
      </c>
    </row>
    <row r="498">
      <c r="A498" s="6" t="inlineStr">
        <is>
          <t>L25</t>
        </is>
      </c>
      <c r="B498" s="6" t="inlineStr">
        <is>
          <t>strong</t>
        </is>
      </c>
      <c r="C498" s="6" t="inlineStr">
        <is>
          <t>Risk — Operational</t>
        </is>
      </c>
      <c r="D498" s="6" t="inlineStr"/>
      <c r="E498" s="6">
        <f>IFERROR(INDEX('Annotator A'!$S$5:$S$44,MATCH($A498,'Annotator A'!$A$5:$A$44,0))&amp;"","")</f>
        <v/>
      </c>
      <c r="F498" s="6">
        <f>IFERROR(INDEX('Annotator B'!$S$5:$S$44,MATCH($A498,'Annotator B'!$A$5:$A$44,0))&amp;"","")</f>
        <v/>
      </c>
      <c r="G498" s="6">
        <f>IF(AND(E498="",F498=""),"",IF(E498=F498,"agree","DIFFER"))</f>
        <v/>
      </c>
      <c r="H498" s="7" t="n"/>
      <c r="I498" s="6">
        <f>IF(H498&lt;&gt;"",H498,IF(G498="agree",E498,""))</f>
        <v/>
      </c>
    </row>
    <row r="499">
      <c r="A499" s="6" t="inlineStr">
        <is>
          <t>L25</t>
        </is>
      </c>
      <c r="B499" s="6" t="inlineStr">
        <is>
          <t>strong</t>
        </is>
      </c>
      <c r="C499" s="6" t="inlineStr">
        <is>
          <t>Risk — Adoption</t>
        </is>
      </c>
      <c r="D499" s="6" t="inlineStr"/>
      <c r="E499" s="6">
        <f>IFERROR(INDEX('Annotator A'!$T$5:$T$44,MATCH($A499,'Annotator A'!$A$5:$A$44,0))&amp;"","")</f>
        <v/>
      </c>
      <c r="F499" s="6">
        <f>IFERROR(INDEX('Annotator B'!$T$5:$T$44,MATCH($A499,'Annotator B'!$A$5:$A$44,0))&amp;"","")</f>
        <v/>
      </c>
      <c r="G499" s="6">
        <f>IF(AND(E499="",F499=""),"",IF(E499=F499,"agree","DIFFER"))</f>
        <v/>
      </c>
      <c r="H499" s="7" t="n"/>
      <c r="I499" s="6">
        <f>IF(H499&lt;&gt;"",H499,IF(G499="agree",E499,""))</f>
        <v/>
      </c>
    </row>
    <row r="500">
      <c r="A500" s="6" t="inlineStr">
        <is>
          <t>L25</t>
        </is>
      </c>
      <c r="B500" s="6" t="inlineStr">
        <is>
          <t>strong</t>
        </is>
      </c>
      <c r="C500" s="6" t="inlineStr">
        <is>
          <t>Risk — Data</t>
        </is>
      </c>
      <c r="D500" s="6" t="inlineStr"/>
      <c r="E500" s="6">
        <f>IFERROR(INDEX('Annotator A'!$U$5:$U$44,MATCH($A500,'Annotator A'!$A$5:$A$44,0))&amp;"","")</f>
        <v/>
      </c>
      <c r="F500" s="6">
        <f>IFERROR(INDEX('Annotator B'!$U$5:$U$44,MATCH($A500,'Annotator B'!$A$5:$A$44,0))&amp;"","")</f>
        <v/>
      </c>
      <c r="G500" s="6">
        <f>IF(AND(E500="",F500=""),"",IF(E500=F500,"agree","DIFFER"))</f>
        <v/>
      </c>
      <c r="H500" s="7" t="n"/>
      <c r="I500" s="6">
        <f>IF(H500&lt;&gt;"",H500,IF(G500="agree",E500,""))</f>
        <v/>
      </c>
    </row>
    <row r="501">
      <c r="A501" s="6" t="inlineStr">
        <is>
          <t>L25</t>
        </is>
      </c>
      <c r="B501" s="6" t="inlineStr">
        <is>
          <t>strong</t>
        </is>
      </c>
      <c r="C501" s="6" t="inlineStr">
        <is>
          <t>Risk — Vendor</t>
        </is>
      </c>
      <c r="D501" s="6" t="inlineStr">
        <is>
          <t>Yes</t>
        </is>
      </c>
      <c r="E501" s="6">
        <f>IFERROR(INDEX('Annotator A'!$V$5:$V$44,MATCH($A501,'Annotator A'!$A$5:$A$44,0))&amp;"","")</f>
        <v/>
      </c>
      <c r="F501" s="6">
        <f>IFERROR(INDEX('Annotator B'!$V$5:$V$44,MATCH($A501,'Annotator B'!$A$5:$A$44,0))&amp;"","")</f>
        <v/>
      </c>
      <c r="G501" s="6">
        <f>IF(AND(E501="",F501=""),"",IF(E501=F501,"agree","DIFFER"))</f>
        <v/>
      </c>
      <c r="H501" s="7" t="n"/>
      <c r="I501" s="6">
        <f>IF(H501&lt;&gt;"",H501,IF(G501="agree",E501,""))</f>
        <v/>
      </c>
    </row>
    <row r="502">
      <c r="A502" s="6" t="inlineStr">
        <is>
          <t>L26</t>
        </is>
      </c>
      <c r="B502" s="6" t="inlineStr">
        <is>
          <t>infeasible</t>
        </is>
      </c>
      <c r="C502" s="6" t="inlineStr">
        <is>
          <t>Use cases</t>
        </is>
      </c>
      <c r="D502" s="6" t="inlineStr"/>
      <c r="E502" s="6">
        <f>IFERROR(INDEX('Annotator A'!$C$5:$C$44,MATCH($A502,'Annotator A'!$A$5:$A$44,0))&amp;"","")</f>
        <v/>
      </c>
      <c r="F502" s="6">
        <f>IFERROR(INDEX('Annotator B'!$C$5:$C$44,MATCH($A502,'Annotator B'!$A$5:$A$44,0))&amp;"","")</f>
        <v/>
      </c>
      <c r="G502" s="6" t="inlineStr">
        <is>
          <t>read both</t>
        </is>
      </c>
      <c r="H502" s="7" t="n"/>
      <c r="I502" s="6">
        <f>IF(H502&lt;&gt;"",H502,"")</f>
        <v/>
      </c>
    </row>
    <row r="503">
      <c r="A503" s="6" t="inlineStr">
        <is>
          <t>L26</t>
        </is>
      </c>
      <c r="B503" s="6" t="inlineStr">
        <is>
          <t>infeasible</t>
        </is>
      </c>
      <c r="C503" s="6" t="inlineStr">
        <is>
          <t>Value — Business impact</t>
        </is>
      </c>
      <c r="D503" s="6" t="inlineStr"/>
      <c r="E503" s="6">
        <f>IFERROR(INDEX('Annotator A'!$D$5:$D$44,MATCH($A503,'Annotator A'!$A$5:$A$44,0))&amp;"","")</f>
        <v/>
      </c>
      <c r="F503" s="6">
        <f>IFERROR(INDEX('Annotator B'!$D$5:$D$44,MATCH($A503,'Annotator B'!$A$5:$A$44,0))&amp;"","")</f>
        <v/>
      </c>
      <c r="G503" s="6">
        <f>IF(AND(E503="",F503=""),"",IF(E503=F503,"agree","DIFFER"))</f>
        <v/>
      </c>
      <c r="H503" s="7" t="n"/>
      <c r="I503" s="6">
        <f>IF(H503&lt;&gt;"",H503,IF(G503="agree",E503,""))</f>
        <v/>
      </c>
    </row>
    <row r="504">
      <c r="A504" s="6" t="inlineStr">
        <is>
          <t>L26</t>
        </is>
      </c>
      <c r="B504" s="6" t="inlineStr">
        <is>
          <t>infeasible</t>
        </is>
      </c>
      <c r="C504" s="6" t="inlineStr">
        <is>
          <t>Value — Productivity</t>
        </is>
      </c>
      <c r="D504" s="6" t="inlineStr"/>
      <c r="E504" s="6">
        <f>IFERROR(INDEX('Annotator A'!$E$5:$E$44,MATCH($A504,'Annotator A'!$A$5:$A$44,0))&amp;"","")</f>
        <v/>
      </c>
      <c r="F504" s="6">
        <f>IFERROR(INDEX('Annotator B'!$E$5:$E$44,MATCH($A504,'Annotator B'!$A$5:$A$44,0))&amp;"","")</f>
        <v/>
      </c>
      <c r="G504" s="6">
        <f>IF(AND(E504="",F504=""),"",IF(E504=F504,"agree","DIFFER"))</f>
        <v/>
      </c>
      <c r="H504" s="7" t="n"/>
      <c r="I504" s="6">
        <f>IF(H504&lt;&gt;"",H504,IF(G504="agree",E504,""))</f>
        <v/>
      </c>
    </row>
    <row r="505">
      <c r="A505" s="6" t="inlineStr">
        <is>
          <t>L26</t>
        </is>
      </c>
      <c r="B505" s="6" t="inlineStr">
        <is>
          <t>infeasible</t>
        </is>
      </c>
      <c r="C505" s="6" t="inlineStr">
        <is>
          <t>Value — Cost reduction</t>
        </is>
      </c>
      <c r="D505" s="6" t="inlineStr"/>
      <c r="E505" s="6">
        <f>IFERROR(INDEX('Annotator A'!$F$5:$F$44,MATCH($A505,'Annotator A'!$A$5:$A$44,0))&amp;"","")</f>
        <v/>
      </c>
      <c r="F505" s="6">
        <f>IFERROR(INDEX('Annotator B'!$F$5:$F$44,MATCH($A505,'Annotator B'!$A$5:$A$44,0))&amp;"","")</f>
        <v/>
      </c>
      <c r="G505" s="6">
        <f>IF(AND(E505="",F505=""),"",IF(E505=F505,"agree","DIFFER"))</f>
        <v/>
      </c>
      <c r="H505" s="7" t="n"/>
      <c r="I505" s="6">
        <f>IF(H505&lt;&gt;"",H505,IF(G505="agree",E505,""))</f>
        <v/>
      </c>
    </row>
    <row r="506">
      <c r="A506" s="6" t="inlineStr">
        <is>
          <t>L26</t>
        </is>
      </c>
      <c r="B506" s="6" t="inlineStr">
        <is>
          <t>infeasible</t>
        </is>
      </c>
      <c r="C506" s="6" t="inlineStr">
        <is>
          <t>Value — Revenue</t>
        </is>
      </c>
      <c r="D506" s="6" t="inlineStr"/>
      <c r="E506" s="6">
        <f>IFERROR(INDEX('Annotator A'!$G$5:$G$44,MATCH($A506,'Annotator A'!$A$5:$A$44,0))&amp;"","")</f>
        <v/>
      </c>
      <c r="F506" s="6">
        <f>IFERROR(INDEX('Annotator B'!$G$5:$G$44,MATCH($A506,'Annotator B'!$A$5:$A$44,0))&amp;"","")</f>
        <v/>
      </c>
      <c r="G506" s="6">
        <f>IF(AND(E506="",F506=""),"",IF(E506=F506,"agree","DIFFER"))</f>
        <v/>
      </c>
      <c r="H506" s="7" t="n"/>
      <c r="I506" s="6">
        <f>IF(H506&lt;&gt;"",H506,IF(G506="agree",E506,""))</f>
        <v/>
      </c>
    </row>
    <row r="507">
      <c r="A507" s="6" t="inlineStr">
        <is>
          <t>L26</t>
        </is>
      </c>
      <c r="B507" s="6" t="inlineStr">
        <is>
          <t>infeasible</t>
        </is>
      </c>
      <c r="C507" s="6" t="inlineStr">
        <is>
          <t>Value — Employee experience</t>
        </is>
      </c>
      <c r="D507" s="6" t="inlineStr"/>
      <c r="E507" s="6">
        <f>IFERROR(INDEX('Annotator A'!$H$5:$H$44,MATCH($A507,'Annotator A'!$A$5:$A$44,0))&amp;"","")</f>
        <v/>
      </c>
      <c r="F507" s="6">
        <f>IFERROR(INDEX('Annotator B'!$H$5:$H$44,MATCH($A507,'Annotator B'!$A$5:$A$44,0))&amp;"","")</f>
        <v/>
      </c>
      <c r="G507" s="6">
        <f>IF(AND(E507="",F507=""),"",IF(E507=F507,"agree","DIFFER"))</f>
        <v/>
      </c>
      <c r="H507" s="7" t="n"/>
      <c r="I507" s="6">
        <f>IF(H507&lt;&gt;"",H507,IF(G507="agree",E507,""))</f>
        <v/>
      </c>
    </row>
    <row r="508">
      <c r="A508" s="6" t="inlineStr">
        <is>
          <t>L26</t>
        </is>
      </c>
      <c r="B508" s="6" t="inlineStr">
        <is>
          <t>infeasible</t>
        </is>
      </c>
      <c r="C508" s="6" t="inlineStr">
        <is>
          <t>Value — Customer impact</t>
        </is>
      </c>
      <c r="D508" s="6" t="inlineStr"/>
      <c r="E508" s="6">
        <f>IFERROR(INDEX('Annotator A'!$I$5:$I$44,MATCH($A508,'Annotator A'!$A$5:$A$44,0))&amp;"","")</f>
        <v/>
      </c>
      <c r="F508" s="6">
        <f>IFERROR(INDEX('Annotator B'!$I$5:$I$44,MATCH($A508,'Annotator B'!$A$5:$A$44,0))&amp;"","")</f>
        <v/>
      </c>
      <c r="G508" s="6">
        <f>IF(AND(E508="",F508=""),"",IF(E508=F508,"agree","DIFFER"))</f>
        <v/>
      </c>
      <c r="H508" s="7" t="n"/>
      <c r="I508" s="6">
        <f>IF(H508&lt;&gt;"",H508,IF(G508="agree",E508,""))</f>
        <v/>
      </c>
    </row>
    <row r="509">
      <c r="A509" s="6" t="inlineStr">
        <is>
          <t>L26</t>
        </is>
      </c>
      <c r="B509" s="6" t="inlineStr">
        <is>
          <t>infeasible</t>
        </is>
      </c>
      <c r="C509" s="6" t="inlineStr">
        <is>
          <t>Value — Operational</t>
        </is>
      </c>
      <c r="D509" s="6" t="inlineStr"/>
      <c r="E509" s="6">
        <f>IFERROR(INDEX('Annotator A'!$J$5:$J$44,MATCH($A509,'Annotator A'!$A$5:$A$44,0))&amp;"","")</f>
        <v/>
      </c>
      <c r="F509" s="6">
        <f>IFERROR(INDEX('Annotator B'!$J$5:$J$44,MATCH($A509,'Annotator B'!$A$5:$A$44,0))&amp;"","")</f>
        <v/>
      </c>
      <c r="G509" s="6">
        <f>IF(AND(E509="",F509=""),"",IF(E509=F509,"agree","DIFFER"))</f>
        <v/>
      </c>
      <c r="H509" s="7" t="n"/>
      <c r="I509" s="6">
        <f>IF(H509&lt;&gt;"",H509,IF(G509="agree",E509,""))</f>
        <v/>
      </c>
    </row>
    <row r="510">
      <c r="A510" s="6" t="inlineStr">
        <is>
          <t>L26</t>
        </is>
      </c>
      <c r="B510" s="6" t="inlineStr">
        <is>
          <t>infeasible</t>
        </is>
      </c>
      <c r="C510" s="6" t="inlineStr">
        <is>
          <t>Value — Problem severity</t>
        </is>
      </c>
      <c r="D510" s="6" t="inlineStr"/>
      <c r="E510" s="6">
        <f>IFERROR(INDEX('Annotator A'!$K$5:$K$44,MATCH($A510,'Annotator A'!$A$5:$A$44,0))&amp;"","")</f>
        <v/>
      </c>
      <c r="F510" s="6">
        <f>IFERROR(INDEX('Annotator B'!$K$5:$K$44,MATCH($A510,'Annotator B'!$A$5:$A$44,0))&amp;"","")</f>
        <v/>
      </c>
      <c r="G510" s="6">
        <f>IF(AND(E510="",F510=""),"",IF(E510=F510,"agree","DIFFER"))</f>
        <v/>
      </c>
      <c r="H510" s="7" t="n"/>
      <c r="I510" s="6">
        <f>IF(H510&lt;&gt;"",H510,IF(G510="agree",E510,""))</f>
        <v/>
      </c>
    </row>
    <row r="511">
      <c r="A511" s="6" t="inlineStr">
        <is>
          <t>L26</t>
        </is>
      </c>
      <c r="B511" s="6" t="inlineStr">
        <is>
          <t>infeasible</t>
        </is>
      </c>
      <c r="C511" s="6" t="inlineStr">
        <is>
          <t>Value — Problem frequency</t>
        </is>
      </c>
      <c r="D511" s="6" t="inlineStr"/>
      <c r="E511" s="6">
        <f>IFERROR(INDEX('Annotator A'!$L$5:$L$44,MATCH($A511,'Annotator A'!$A$5:$A$44,0))&amp;"","")</f>
        <v/>
      </c>
      <c r="F511" s="6">
        <f>IFERROR(INDEX('Annotator B'!$L$5:$L$44,MATCH($A511,'Annotator B'!$A$5:$A$44,0))&amp;"","")</f>
        <v/>
      </c>
      <c r="G511" s="6">
        <f>IF(AND(E511="",F511=""),"",IF(E511=F511,"agree","DIFFER"))</f>
        <v/>
      </c>
      <c r="H511" s="7" t="n"/>
      <c r="I511" s="6">
        <f>IF(H511&lt;&gt;"",H511,IF(G511="agree",E511,""))</f>
        <v/>
      </c>
    </row>
    <row r="512">
      <c r="A512" s="6" t="inlineStr">
        <is>
          <t>L26</t>
        </is>
      </c>
      <c r="B512" s="6" t="inlineStr">
        <is>
          <t>infeasible</t>
        </is>
      </c>
      <c r="C512" s="6" t="inlineStr">
        <is>
          <t>Feasibility status</t>
        </is>
      </c>
      <c r="D512" s="6" t="inlineStr">
        <is>
          <t>NOT_CURRENTLY_FEASIBLE</t>
        </is>
      </c>
      <c r="E512" s="6">
        <f>IFERROR(INDEX('Annotator A'!$M$5:$M$44,MATCH($A512,'Annotator A'!$A$5:$A$44,0))&amp;"","")</f>
        <v/>
      </c>
      <c r="F512" s="6">
        <f>IFERROR(INDEX('Annotator B'!$M$5:$M$44,MATCH($A512,'Annotator B'!$A$5:$A$44,0))&amp;"","")</f>
        <v/>
      </c>
      <c r="G512" s="6">
        <f>IF(AND(E512="",F512=""),"",IF(E512=F512,"agree","DIFFER"))</f>
        <v/>
      </c>
      <c r="H512" s="7" t="n"/>
      <c r="I512" s="6">
        <f>IF(H512&lt;&gt;"",H512,IF(G512="agree",E512,""))</f>
        <v/>
      </c>
    </row>
    <row r="513">
      <c r="A513" s="6" t="inlineStr">
        <is>
          <t>L26</t>
        </is>
      </c>
      <c r="B513" s="6" t="inlineStr">
        <is>
          <t>infeasible</t>
        </is>
      </c>
      <c r="C513" s="6" t="inlineStr">
        <is>
          <t>Risk — Technical</t>
        </is>
      </c>
      <c r="D513" s="6" t="inlineStr"/>
      <c r="E513" s="6">
        <f>IFERROR(INDEX('Annotator A'!$N$5:$N$44,MATCH($A513,'Annotator A'!$A$5:$A$44,0))&amp;"","")</f>
        <v/>
      </c>
      <c r="F513" s="6">
        <f>IFERROR(INDEX('Annotator B'!$N$5:$N$44,MATCH($A513,'Annotator B'!$A$5:$A$44,0))&amp;"","")</f>
        <v/>
      </c>
      <c r="G513" s="6">
        <f>IF(AND(E513="",F513=""),"",IF(E513=F513,"agree","DIFFER"))</f>
        <v/>
      </c>
      <c r="H513" s="7" t="n"/>
      <c r="I513" s="6">
        <f>IF(H513&lt;&gt;"",H513,IF(G513="agree",E513,""))</f>
        <v/>
      </c>
    </row>
    <row r="514">
      <c r="A514" s="6" t="inlineStr">
        <is>
          <t>L26</t>
        </is>
      </c>
      <c r="B514" s="6" t="inlineStr">
        <is>
          <t>infeasible</t>
        </is>
      </c>
      <c r="C514" s="6" t="inlineStr">
        <is>
          <t>Risk — Security</t>
        </is>
      </c>
      <c r="D514" s="6" t="inlineStr"/>
      <c r="E514" s="6">
        <f>IFERROR(INDEX('Annotator A'!$O$5:$O$44,MATCH($A514,'Annotator A'!$A$5:$A$44,0))&amp;"","")</f>
        <v/>
      </c>
      <c r="F514" s="6">
        <f>IFERROR(INDEX('Annotator B'!$O$5:$O$44,MATCH($A514,'Annotator B'!$A$5:$A$44,0))&amp;"","")</f>
        <v/>
      </c>
      <c r="G514" s="6">
        <f>IF(AND(E514="",F514=""),"",IF(E514=F514,"agree","DIFFER"))</f>
        <v/>
      </c>
      <c r="H514" s="7" t="n"/>
      <c r="I514" s="6">
        <f>IF(H514&lt;&gt;"",H514,IF(G514="agree",E514,""))</f>
        <v/>
      </c>
    </row>
    <row r="515">
      <c r="A515" s="6" t="inlineStr">
        <is>
          <t>L26</t>
        </is>
      </c>
      <c r="B515" s="6" t="inlineStr">
        <is>
          <t>infeasible</t>
        </is>
      </c>
      <c r="C515" s="6" t="inlineStr">
        <is>
          <t>Risk — Privacy</t>
        </is>
      </c>
      <c r="D515" s="6" t="inlineStr"/>
      <c r="E515" s="6">
        <f>IFERROR(INDEX('Annotator A'!$P$5:$P$44,MATCH($A515,'Annotator A'!$A$5:$A$44,0))&amp;"","")</f>
        <v/>
      </c>
      <c r="F515" s="6">
        <f>IFERROR(INDEX('Annotator B'!$P$5:$P$44,MATCH($A515,'Annotator B'!$A$5:$A$44,0))&amp;"","")</f>
        <v/>
      </c>
      <c r="G515" s="6">
        <f>IF(AND(E515="",F515=""),"",IF(E515=F515,"agree","DIFFER"))</f>
        <v/>
      </c>
      <c r="H515" s="7" t="n"/>
      <c r="I515" s="6">
        <f>IF(H515&lt;&gt;"",H515,IF(G515="agree",E515,""))</f>
        <v/>
      </c>
    </row>
    <row r="516">
      <c r="A516" s="6" t="inlineStr">
        <is>
          <t>L26</t>
        </is>
      </c>
      <c r="B516" s="6" t="inlineStr">
        <is>
          <t>infeasible</t>
        </is>
      </c>
      <c r="C516" s="6" t="inlineStr">
        <is>
          <t>Risk — Compliance</t>
        </is>
      </c>
      <c r="D516" s="6" t="inlineStr">
        <is>
          <t>Yes</t>
        </is>
      </c>
      <c r="E516" s="6">
        <f>IFERROR(INDEX('Annotator A'!$Q$5:$Q$44,MATCH($A516,'Annotator A'!$A$5:$A$44,0))&amp;"","")</f>
        <v/>
      </c>
      <c r="F516" s="6">
        <f>IFERROR(INDEX('Annotator B'!$Q$5:$Q$44,MATCH($A516,'Annotator B'!$A$5:$A$44,0))&amp;"","")</f>
        <v/>
      </c>
      <c r="G516" s="6">
        <f>IF(AND(E516="",F516=""),"",IF(E516=F516,"agree","DIFFER"))</f>
        <v/>
      </c>
      <c r="H516" s="7" t="n"/>
      <c r="I516" s="6">
        <f>IF(H516&lt;&gt;"",H516,IF(G516="agree",E516,""))</f>
        <v/>
      </c>
    </row>
    <row r="517">
      <c r="A517" s="6" t="inlineStr">
        <is>
          <t>L26</t>
        </is>
      </c>
      <c r="B517" s="6" t="inlineStr">
        <is>
          <t>infeasible</t>
        </is>
      </c>
      <c r="C517" s="6" t="inlineStr">
        <is>
          <t>Risk — Financial</t>
        </is>
      </c>
      <c r="D517" s="6" t="inlineStr"/>
      <c r="E517" s="6">
        <f>IFERROR(INDEX('Annotator A'!$R$5:$R$44,MATCH($A517,'Annotator A'!$A$5:$A$44,0))&amp;"","")</f>
        <v/>
      </c>
      <c r="F517" s="6">
        <f>IFERROR(INDEX('Annotator B'!$R$5:$R$44,MATCH($A517,'Annotator B'!$A$5:$A$44,0))&amp;"","")</f>
        <v/>
      </c>
      <c r="G517" s="6">
        <f>IF(AND(E517="",F517=""),"",IF(E517=F517,"agree","DIFFER"))</f>
        <v/>
      </c>
      <c r="H517" s="7" t="n"/>
      <c r="I517" s="6">
        <f>IF(H517&lt;&gt;"",H517,IF(G517="agree",E517,""))</f>
        <v/>
      </c>
    </row>
    <row r="518">
      <c r="A518" s="6" t="inlineStr">
        <is>
          <t>L26</t>
        </is>
      </c>
      <c r="B518" s="6" t="inlineStr">
        <is>
          <t>infeasible</t>
        </is>
      </c>
      <c r="C518" s="6" t="inlineStr">
        <is>
          <t>Risk — Operational</t>
        </is>
      </c>
      <c r="D518" s="6" t="inlineStr">
        <is>
          <t>Yes</t>
        </is>
      </c>
      <c r="E518" s="6">
        <f>IFERROR(INDEX('Annotator A'!$S$5:$S$44,MATCH($A518,'Annotator A'!$A$5:$A$44,0))&amp;"","")</f>
        <v/>
      </c>
      <c r="F518" s="6">
        <f>IFERROR(INDEX('Annotator B'!$S$5:$S$44,MATCH($A518,'Annotator B'!$A$5:$A$44,0))&amp;"","")</f>
        <v/>
      </c>
      <c r="G518" s="6">
        <f>IF(AND(E518="",F518=""),"",IF(E518=F518,"agree","DIFFER"))</f>
        <v/>
      </c>
      <c r="H518" s="7" t="n"/>
      <c r="I518" s="6">
        <f>IF(H518&lt;&gt;"",H518,IF(G518="agree",E518,""))</f>
        <v/>
      </c>
    </row>
    <row r="519">
      <c r="A519" s="6" t="inlineStr">
        <is>
          <t>L26</t>
        </is>
      </c>
      <c r="B519" s="6" t="inlineStr">
        <is>
          <t>infeasible</t>
        </is>
      </c>
      <c r="C519" s="6" t="inlineStr">
        <is>
          <t>Risk — Adoption</t>
        </is>
      </c>
      <c r="D519" s="6" t="inlineStr"/>
      <c r="E519" s="6">
        <f>IFERROR(INDEX('Annotator A'!$T$5:$T$44,MATCH($A519,'Annotator A'!$A$5:$A$44,0))&amp;"","")</f>
        <v/>
      </c>
      <c r="F519" s="6">
        <f>IFERROR(INDEX('Annotator B'!$T$5:$T$44,MATCH($A519,'Annotator B'!$A$5:$A$44,0))&amp;"","")</f>
        <v/>
      </c>
      <c r="G519" s="6">
        <f>IF(AND(E519="",F519=""),"",IF(E519=F519,"agree","DIFFER"))</f>
        <v/>
      </c>
      <c r="H519" s="7" t="n"/>
      <c r="I519" s="6">
        <f>IF(H519&lt;&gt;"",H519,IF(G519="agree",E519,""))</f>
        <v/>
      </c>
    </row>
    <row r="520">
      <c r="A520" s="6" t="inlineStr">
        <is>
          <t>L26</t>
        </is>
      </c>
      <c r="B520" s="6" t="inlineStr">
        <is>
          <t>infeasible</t>
        </is>
      </c>
      <c r="C520" s="6" t="inlineStr">
        <is>
          <t>Risk — Data</t>
        </is>
      </c>
      <c r="D520" s="6" t="inlineStr"/>
      <c r="E520" s="6">
        <f>IFERROR(INDEX('Annotator A'!$U$5:$U$44,MATCH($A520,'Annotator A'!$A$5:$A$44,0))&amp;"","")</f>
        <v/>
      </c>
      <c r="F520" s="6">
        <f>IFERROR(INDEX('Annotator B'!$U$5:$U$44,MATCH($A520,'Annotator B'!$A$5:$A$44,0))&amp;"","")</f>
        <v/>
      </c>
      <c r="G520" s="6">
        <f>IF(AND(E520="",F520=""),"",IF(E520=F520,"agree","DIFFER"))</f>
        <v/>
      </c>
      <c r="H520" s="7" t="n"/>
      <c r="I520" s="6">
        <f>IF(H520&lt;&gt;"",H520,IF(G520="agree",E520,""))</f>
        <v/>
      </c>
    </row>
    <row r="521">
      <c r="A521" s="6" t="inlineStr">
        <is>
          <t>L26</t>
        </is>
      </c>
      <c r="B521" s="6" t="inlineStr">
        <is>
          <t>infeasible</t>
        </is>
      </c>
      <c r="C521" s="6" t="inlineStr">
        <is>
          <t>Risk — Vendor</t>
        </is>
      </c>
      <c r="D521" s="6" t="inlineStr"/>
      <c r="E521" s="6">
        <f>IFERROR(INDEX('Annotator A'!$V$5:$V$44,MATCH($A521,'Annotator A'!$A$5:$A$44,0))&amp;"","")</f>
        <v/>
      </c>
      <c r="F521" s="6">
        <f>IFERROR(INDEX('Annotator B'!$V$5:$V$44,MATCH($A521,'Annotator B'!$A$5:$A$44,0))&amp;"","")</f>
        <v/>
      </c>
      <c r="G521" s="6">
        <f>IF(AND(E521="",F521=""),"",IF(E521=F521,"agree","DIFFER"))</f>
        <v/>
      </c>
      <c r="H521" s="7" t="n"/>
      <c r="I521" s="6">
        <f>IF(H521&lt;&gt;"",H521,IF(G521="agree",E521,""))</f>
        <v/>
      </c>
    </row>
    <row r="522">
      <c r="A522" s="6" t="inlineStr">
        <is>
          <t>L27</t>
        </is>
      </c>
      <c r="B522" s="6" t="inlineStr">
        <is>
          <t>vague</t>
        </is>
      </c>
      <c r="C522" s="6" t="inlineStr">
        <is>
          <t>Use cases</t>
        </is>
      </c>
      <c r="D522" s="6" t="inlineStr"/>
      <c r="E522" s="6">
        <f>IFERROR(INDEX('Annotator A'!$C$5:$C$44,MATCH($A522,'Annotator A'!$A$5:$A$44,0))&amp;"","")</f>
        <v/>
      </c>
      <c r="F522" s="6">
        <f>IFERROR(INDEX('Annotator B'!$C$5:$C$44,MATCH($A522,'Annotator B'!$A$5:$A$44,0))&amp;"","")</f>
        <v/>
      </c>
      <c r="G522" s="6" t="inlineStr">
        <is>
          <t>read both</t>
        </is>
      </c>
      <c r="H522" s="7" t="n"/>
      <c r="I522" s="6">
        <f>IF(H522&lt;&gt;"",H522,"")</f>
        <v/>
      </c>
    </row>
    <row r="523">
      <c r="A523" s="6" t="inlineStr">
        <is>
          <t>L27</t>
        </is>
      </c>
      <c r="B523" s="6" t="inlineStr">
        <is>
          <t>vague</t>
        </is>
      </c>
      <c r="C523" s="6" t="inlineStr">
        <is>
          <t>Value — Business impact</t>
        </is>
      </c>
      <c r="D523" s="6" t="inlineStr"/>
      <c r="E523" s="6">
        <f>IFERROR(INDEX('Annotator A'!$D$5:$D$44,MATCH($A523,'Annotator A'!$A$5:$A$44,0))&amp;"","")</f>
        <v/>
      </c>
      <c r="F523" s="6">
        <f>IFERROR(INDEX('Annotator B'!$D$5:$D$44,MATCH($A523,'Annotator B'!$A$5:$A$44,0))&amp;"","")</f>
        <v/>
      </c>
      <c r="G523" s="6">
        <f>IF(AND(E523="",F523=""),"",IF(E523=F523,"agree","DIFFER"))</f>
        <v/>
      </c>
      <c r="H523" s="7" t="n"/>
      <c r="I523" s="6">
        <f>IF(H523&lt;&gt;"",H523,IF(G523="agree",E523,""))</f>
        <v/>
      </c>
    </row>
    <row r="524">
      <c r="A524" s="6" t="inlineStr">
        <is>
          <t>L27</t>
        </is>
      </c>
      <c r="B524" s="6" t="inlineStr">
        <is>
          <t>vague</t>
        </is>
      </c>
      <c r="C524" s="6" t="inlineStr">
        <is>
          <t>Value — Productivity</t>
        </is>
      </c>
      <c r="D524" s="6" t="inlineStr"/>
      <c r="E524" s="6">
        <f>IFERROR(INDEX('Annotator A'!$E$5:$E$44,MATCH($A524,'Annotator A'!$A$5:$A$44,0))&amp;"","")</f>
        <v/>
      </c>
      <c r="F524" s="6">
        <f>IFERROR(INDEX('Annotator B'!$E$5:$E$44,MATCH($A524,'Annotator B'!$A$5:$A$44,0))&amp;"","")</f>
        <v/>
      </c>
      <c r="G524" s="6">
        <f>IF(AND(E524="",F524=""),"",IF(E524=F524,"agree","DIFFER"))</f>
        <v/>
      </c>
      <c r="H524" s="7" t="n"/>
      <c r="I524" s="6">
        <f>IF(H524&lt;&gt;"",H524,IF(G524="agree",E524,""))</f>
        <v/>
      </c>
    </row>
    <row r="525">
      <c r="A525" s="6" t="inlineStr">
        <is>
          <t>L27</t>
        </is>
      </c>
      <c r="B525" s="6" t="inlineStr">
        <is>
          <t>vague</t>
        </is>
      </c>
      <c r="C525" s="6" t="inlineStr">
        <is>
          <t>Value — Cost reduction</t>
        </is>
      </c>
      <c r="D525" s="6" t="inlineStr"/>
      <c r="E525" s="6">
        <f>IFERROR(INDEX('Annotator A'!$F$5:$F$44,MATCH($A525,'Annotator A'!$A$5:$A$44,0))&amp;"","")</f>
        <v/>
      </c>
      <c r="F525" s="6">
        <f>IFERROR(INDEX('Annotator B'!$F$5:$F$44,MATCH($A525,'Annotator B'!$A$5:$A$44,0))&amp;"","")</f>
        <v/>
      </c>
      <c r="G525" s="6">
        <f>IF(AND(E525="",F525=""),"",IF(E525=F525,"agree","DIFFER"))</f>
        <v/>
      </c>
      <c r="H525" s="7" t="n"/>
      <c r="I525" s="6">
        <f>IF(H525&lt;&gt;"",H525,IF(G525="agree",E525,""))</f>
        <v/>
      </c>
    </row>
    <row r="526">
      <c r="A526" s="6" t="inlineStr">
        <is>
          <t>L27</t>
        </is>
      </c>
      <c r="B526" s="6" t="inlineStr">
        <is>
          <t>vague</t>
        </is>
      </c>
      <c r="C526" s="6" t="inlineStr">
        <is>
          <t>Value — Revenue</t>
        </is>
      </c>
      <c r="D526" s="6" t="inlineStr"/>
      <c r="E526" s="6">
        <f>IFERROR(INDEX('Annotator A'!$G$5:$G$44,MATCH($A526,'Annotator A'!$A$5:$A$44,0))&amp;"","")</f>
        <v/>
      </c>
      <c r="F526" s="6">
        <f>IFERROR(INDEX('Annotator B'!$G$5:$G$44,MATCH($A526,'Annotator B'!$A$5:$A$44,0))&amp;"","")</f>
        <v/>
      </c>
      <c r="G526" s="6">
        <f>IF(AND(E526="",F526=""),"",IF(E526=F526,"agree","DIFFER"))</f>
        <v/>
      </c>
      <c r="H526" s="7" t="n"/>
      <c r="I526" s="6">
        <f>IF(H526&lt;&gt;"",H526,IF(G526="agree",E526,""))</f>
        <v/>
      </c>
    </row>
    <row r="527">
      <c r="A527" s="6" t="inlineStr">
        <is>
          <t>L27</t>
        </is>
      </c>
      <c r="B527" s="6" t="inlineStr">
        <is>
          <t>vague</t>
        </is>
      </c>
      <c r="C527" s="6" t="inlineStr">
        <is>
          <t>Value — Employee experience</t>
        </is>
      </c>
      <c r="D527" s="6" t="inlineStr"/>
      <c r="E527" s="6">
        <f>IFERROR(INDEX('Annotator A'!$H$5:$H$44,MATCH($A527,'Annotator A'!$A$5:$A$44,0))&amp;"","")</f>
        <v/>
      </c>
      <c r="F527" s="6">
        <f>IFERROR(INDEX('Annotator B'!$H$5:$H$44,MATCH($A527,'Annotator B'!$A$5:$A$44,0))&amp;"","")</f>
        <v/>
      </c>
      <c r="G527" s="6">
        <f>IF(AND(E527="",F527=""),"",IF(E527=F527,"agree","DIFFER"))</f>
        <v/>
      </c>
      <c r="H527" s="7" t="n"/>
      <c r="I527" s="6">
        <f>IF(H527&lt;&gt;"",H527,IF(G527="agree",E527,""))</f>
        <v/>
      </c>
    </row>
    <row r="528">
      <c r="A528" s="6" t="inlineStr">
        <is>
          <t>L27</t>
        </is>
      </c>
      <c r="B528" s="6" t="inlineStr">
        <is>
          <t>vague</t>
        </is>
      </c>
      <c r="C528" s="6" t="inlineStr">
        <is>
          <t>Value — Customer impact</t>
        </is>
      </c>
      <c r="D528" s="6" t="inlineStr"/>
      <c r="E528" s="6">
        <f>IFERROR(INDEX('Annotator A'!$I$5:$I$44,MATCH($A528,'Annotator A'!$A$5:$A$44,0))&amp;"","")</f>
        <v/>
      </c>
      <c r="F528" s="6">
        <f>IFERROR(INDEX('Annotator B'!$I$5:$I$44,MATCH($A528,'Annotator B'!$A$5:$A$44,0))&amp;"","")</f>
        <v/>
      </c>
      <c r="G528" s="6">
        <f>IF(AND(E528="",F528=""),"",IF(E528=F528,"agree","DIFFER"))</f>
        <v/>
      </c>
      <c r="H528" s="7" t="n"/>
      <c r="I528" s="6">
        <f>IF(H528&lt;&gt;"",H528,IF(G528="agree",E528,""))</f>
        <v/>
      </c>
    </row>
    <row r="529">
      <c r="A529" s="6" t="inlineStr">
        <is>
          <t>L27</t>
        </is>
      </c>
      <c r="B529" s="6" t="inlineStr">
        <is>
          <t>vague</t>
        </is>
      </c>
      <c r="C529" s="6" t="inlineStr">
        <is>
          <t>Value — Operational</t>
        </is>
      </c>
      <c r="D529" s="6" t="inlineStr"/>
      <c r="E529" s="6">
        <f>IFERROR(INDEX('Annotator A'!$J$5:$J$44,MATCH($A529,'Annotator A'!$A$5:$A$44,0))&amp;"","")</f>
        <v/>
      </c>
      <c r="F529" s="6">
        <f>IFERROR(INDEX('Annotator B'!$J$5:$J$44,MATCH($A529,'Annotator B'!$A$5:$A$44,0))&amp;"","")</f>
        <v/>
      </c>
      <c r="G529" s="6">
        <f>IF(AND(E529="",F529=""),"",IF(E529=F529,"agree","DIFFER"))</f>
        <v/>
      </c>
      <c r="H529" s="7" t="n"/>
      <c r="I529" s="6">
        <f>IF(H529&lt;&gt;"",H529,IF(G529="agree",E529,""))</f>
        <v/>
      </c>
    </row>
    <row r="530">
      <c r="A530" s="6" t="inlineStr">
        <is>
          <t>L27</t>
        </is>
      </c>
      <c r="B530" s="6" t="inlineStr">
        <is>
          <t>vague</t>
        </is>
      </c>
      <c r="C530" s="6" t="inlineStr">
        <is>
          <t>Value — Problem severity</t>
        </is>
      </c>
      <c r="D530" s="6" t="inlineStr"/>
      <c r="E530" s="6">
        <f>IFERROR(INDEX('Annotator A'!$K$5:$K$44,MATCH($A530,'Annotator A'!$A$5:$A$44,0))&amp;"","")</f>
        <v/>
      </c>
      <c r="F530" s="6">
        <f>IFERROR(INDEX('Annotator B'!$K$5:$K$44,MATCH($A530,'Annotator B'!$A$5:$A$44,0))&amp;"","")</f>
        <v/>
      </c>
      <c r="G530" s="6">
        <f>IF(AND(E530="",F530=""),"",IF(E530=F530,"agree","DIFFER"))</f>
        <v/>
      </c>
      <c r="H530" s="7" t="n"/>
      <c r="I530" s="6">
        <f>IF(H530&lt;&gt;"",H530,IF(G530="agree",E530,""))</f>
        <v/>
      </c>
    </row>
    <row r="531">
      <c r="A531" s="6" t="inlineStr">
        <is>
          <t>L27</t>
        </is>
      </c>
      <c r="B531" s="6" t="inlineStr">
        <is>
          <t>vague</t>
        </is>
      </c>
      <c r="C531" s="6" t="inlineStr">
        <is>
          <t>Value — Problem frequency</t>
        </is>
      </c>
      <c r="D531" s="6" t="inlineStr"/>
      <c r="E531" s="6">
        <f>IFERROR(INDEX('Annotator A'!$L$5:$L$44,MATCH($A531,'Annotator A'!$A$5:$A$44,0))&amp;"","")</f>
        <v/>
      </c>
      <c r="F531" s="6">
        <f>IFERROR(INDEX('Annotator B'!$L$5:$L$44,MATCH($A531,'Annotator B'!$A$5:$A$44,0))&amp;"","")</f>
        <v/>
      </c>
      <c r="G531" s="6">
        <f>IF(AND(E531="",F531=""),"",IF(E531=F531,"agree","DIFFER"))</f>
        <v/>
      </c>
      <c r="H531" s="7" t="n"/>
      <c r="I531" s="6">
        <f>IF(H531&lt;&gt;"",H531,IF(G531="agree",E531,""))</f>
        <v/>
      </c>
    </row>
    <row r="532">
      <c r="A532" s="6" t="inlineStr">
        <is>
          <t>L27</t>
        </is>
      </c>
      <c r="B532" s="6" t="inlineStr">
        <is>
          <t>vague</t>
        </is>
      </c>
      <c r="C532" s="6" t="inlineStr">
        <is>
          <t>Feasibility status</t>
        </is>
      </c>
      <c r="D532" s="6" t="inlineStr"/>
      <c r="E532" s="6">
        <f>IFERROR(INDEX('Annotator A'!$M$5:$M$44,MATCH($A532,'Annotator A'!$A$5:$A$44,0))&amp;"","")</f>
        <v/>
      </c>
      <c r="F532" s="6">
        <f>IFERROR(INDEX('Annotator B'!$M$5:$M$44,MATCH($A532,'Annotator B'!$A$5:$A$44,0))&amp;"","")</f>
        <v/>
      </c>
      <c r="G532" s="6">
        <f>IF(AND(E532="",F532=""),"",IF(E532=F532,"agree","DIFFER"))</f>
        <v/>
      </c>
      <c r="H532" s="7" t="n"/>
      <c r="I532" s="6">
        <f>IF(H532&lt;&gt;"",H532,IF(G532="agree",E532,""))</f>
        <v/>
      </c>
    </row>
    <row r="533">
      <c r="A533" s="6" t="inlineStr">
        <is>
          <t>L27</t>
        </is>
      </c>
      <c r="B533" s="6" t="inlineStr">
        <is>
          <t>vague</t>
        </is>
      </c>
      <c r="C533" s="6" t="inlineStr">
        <is>
          <t>Risk — Technical</t>
        </is>
      </c>
      <c r="D533" s="6" t="inlineStr"/>
      <c r="E533" s="6">
        <f>IFERROR(INDEX('Annotator A'!$N$5:$N$44,MATCH($A533,'Annotator A'!$A$5:$A$44,0))&amp;"","")</f>
        <v/>
      </c>
      <c r="F533" s="6">
        <f>IFERROR(INDEX('Annotator B'!$N$5:$N$44,MATCH($A533,'Annotator B'!$A$5:$A$44,0))&amp;"","")</f>
        <v/>
      </c>
      <c r="G533" s="6">
        <f>IF(AND(E533="",F533=""),"",IF(E533=F533,"agree","DIFFER"))</f>
        <v/>
      </c>
      <c r="H533" s="7" t="n"/>
      <c r="I533" s="6">
        <f>IF(H533&lt;&gt;"",H533,IF(G533="agree",E533,""))</f>
        <v/>
      </c>
    </row>
    <row r="534">
      <c r="A534" s="6" t="inlineStr">
        <is>
          <t>L27</t>
        </is>
      </c>
      <c r="B534" s="6" t="inlineStr">
        <is>
          <t>vague</t>
        </is>
      </c>
      <c r="C534" s="6" t="inlineStr">
        <is>
          <t>Risk — Security</t>
        </is>
      </c>
      <c r="D534" s="6" t="inlineStr"/>
      <c r="E534" s="6">
        <f>IFERROR(INDEX('Annotator A'!$O$5:$O$44,MATCH($A534,'Annotator A'!$A$5:$A$44,0))&amp;"","")</f>
        <v/>
      </c>
      <c r="F534" s="6">
        <f>IFERROR(INDEX('Annotator B'!$O$5:$O$44,MATCH($A534,'Annotator B'!$A$5:$A$44,0))&amp;"","")</f>
        <v/>
      </c>
      <c r="G534" s="6">
        <f>IF(AND(E534="",F534=""),"",IF(E534=F534,"agree","DIFFER"))</f>
        <v/>
      </c>
      <c r="H534" s="7" t="n"/>
      <c r="I534" s="6">
        <f>IF(H534&lt;&gt;"",H534,IF(G534="agree",E534,""))</f>
        <v/>
      </c>
    </row>
    <row r="535">
      <c r="A535" s="6" t="inlineStr">
        <is>
          <t>L27</t>
        </is>
      </c>
      <c r="B535" s="6" t="inlineStr">
        <is>
          <t>vague</t>
        </is>
      </c>
      <c r="C535" s="6" t="inlineStr">
        <is>
          <t>Risk — Privacy</t>
        </is>
      </c>
      <c r="D535" s="6" t="inlineStr"/>
      <c r="E535" s="6">
        <f>IFERROR(INDEX('Annotator A'!$P$5:$P$44,MATCH($A535,'Annotator A'!$A$5:$A$44,0))&amp;"","")</f>
        <v/>
      </c>
      <c r="F535" s="6">
        <f>IFERROR(INDEX('Annotator B'!$P$5:$P$44,MATCH($A535,'Annotator B'!$A$5:$A$44,0))&amp;"","")</f>
        <v/>
      </c>
      <c r="G535" s="6">
        <f>IF(AND(E535="",F535=""),"",IF(E535=F535,"agree","DIFFER"))</f>
        <v/>
      </c>
      <c r="H535" s="7" t="n"/>
      <c r="I535" s="6">
        <f>IF(H535&lt;&gt;"",H535,IF(G535="agree",E535,""))</f>
        <v/>
      </c>
    </row>
    <row r="536">
      <c r="A536" s="6" t="inlineStr">
        <is>
          <t>L27</t>
        </is>
      </c>
      <c r="B536" s="6" t="inlineStr">
        <is>
          <t>vague</t>
        </is>
      </c>
      <c r="C536" s="6" t="inlineStr">
        <is>
          <t>Risk — Compliance</t>
        </is>
      </c>
      <c r="D536" s="6" t="inlineStr"/>
      <c r="E536" s="6">
        <f>IFERROR(INDEX('Annotator A'!$Q$5:$Q$44,MATCH($A536,'Annotator A'!$A$5:$A$44,0))&amp;"","")</f>
        <v/>
      </c>
      <c r="F536" s="6">
        <f>IFERROR(INDEX('Annotator B'!$Q$5:$Q$44,MATCH($A536,'Annotator B'!$A$5:$A$44,0))&amp;"","")</f>
        <v/>
      </c>
      <c r="G536" s="6">
        <f>IF(AND(E536="",F536=""),"",IF(E536=F536,"agree","DIFFER"))</f>
        <v/>
      </c>
      <c r="H536" s="7" t="n"/>
      <c r="I536" s="6">
        <f>IF(H536&lt;&gt;"",H536,IF(G536="agree",E536,""))</f>
        <v/>
      </c>
    </row>
    <row r="537">
      <c r="A537" s="6" t="inlineStr">
        <is>
          <t>L27</t>
        </is>
      </c>
      <c r="B537" s="6" t="inlineStr">
        <is>
          <t>vague</t>
        </is>
      </c>
      <c r="C537" s="6" t="inlineStr">
        <is>
          <t>Risk — Financial</t>
        </is>
      </c>
      <c r="D537" s="6" t="inlineStr"/>
      <c r="E537" s="6">
        <f>IFERROR(INDEX('Annotator A'!$R$5:$R$44,MATCH($A537,'Annotator A'!$A$5:$A$44,0))&amp;"","")</f>
        <v/>
      </c>
      <c r="F537" s="6">
        <f>IFERROR(INDEX('Annotator B'!$R$5:$R$44,MATCH($A537,'Annotator B'!$A$5:$A$44,0))&amp;"","")</f>
        <v/>
      </c>
      <c r="G537" s="6">
        <f>IF(AND(E537="",F537=""),"",IF(E537=F537,"agree","DIFFER"))</f>
        <v/>
      </c>
      <c r="H537" s="7" t="n"/>
      <c r="I537" s="6">
        <f>IF(H537&lt;&gt;"",H537,IF(G537="agree",E537,""))</f>
        <v/>
      </c>
    </row>
    <row r="538">
      <c r="A538" s="6" t="inlineStr">
        <is>
          <t>L27</t>
        </is>
      </c>
      <c r="B538" s="6" t="inlineStr">
        <is>
          <t>vague</t>
        </is>
      </c>
      <c r="C538" s="6" t="inlineStr">
        <is>
          <t>Risk — Operational</t>
        </is>
      </c>
      <c r="D538" s="6" t="inlineStr"/>
      <c r="E538" s="6">
        <f>IFERROR(INDEX('Annotator A'!$S$5:$S$44,MATCH($A538,'Annotator A'!$A$5:$A$44,0))&amp;"","")</f>
        <v/>
      </c>
      <c r="F538" s="6">
        <f>IFERROR(INDEX('Annotator B'!$S$5:$S$44,MATCH($A538,'Annotator B'!$A$5:$A$44,0))&amp;"","")</f>
        <v/>
      </c>
      <c r="G538" s="6">
        <f>IF(AND(E538="",F538=""),"",IF(E538=F538,"agree","DIFFER"))</f>
        <v/>
      </c>
      <c r="H538" s="7" t="n"/>
      <c r="I538" s="6">
        <f>IF(H538&lt;&gt;"",H538,IF(G538="agree",E538,""))</f>
        <v/>
      </c>
    </row>
    <row r="539">
      <c r="A539" s="6" t="inlineStr">
        <is>
          <t>L27</t>
        </is>
      </c>
      <c r="B539" s="6" t="inlineStr">
        <is>
          <t>vague</t>
        </is>
      </c>
      <c r="C539" s="6" t="inlineStr">
        <is>
          <t>Risk — Adoption</t>
        </is>
      </c>
      <c r="D539" s="6" t="inlineStr"/>
      <c r="E539" s="6">
        <f>IFERROR(INDEX('Annotator A'!$T$5:$T$44,MATCH($A539,'Annotator A'!$A$5:$A$44,0))&amp;"","")</f>
        <v/>
      </c>
      <c r="F539" s="6">
        <f>IFERROR(INDEX('Annotator B'!$T$5:$T$44,MATCH($A539,'Annotator B'!$A$5:$A$44,0))&amp;"","")</f>
        <v/>
      </c>
      <c r="G539" s="6">
        <f>IF(AND(E539="",F539=""),"",IF(E539=F539,"agree","DIFFER"))</f>
        <v/>
      </c>
      <c r="H539" s="7" t="n"/>
      <c r="I539" s="6">
        <f>IF(H539&lt;&gt;"",H539,IF(G539="agree",E539,""))</f>
        <v/>
      </c>
    </row>
    <row r="540">
      <c r="A540" s="6" t="inlineStr">
        <is>
          <t>L27</t>
        </is>
      </c>
      <c r="B540" s="6" t="inlineStr">
        <is>
          <t>vague</t>
        </is>
      </c>
      <c r="C540" s="6" t="inlineStr">
        <is>
          <t>Risk — Data</t>
        </is>
      </c>
      <c r="D540" s="6" t="inlineStr"/>
      <c r="E540" s="6">
        <f>IFERROR(INDEX('Annotator A'!$U$5:$U$44,MATCH($A540,'Annotator A'!$A$5:$A$44,0))&amp;"","")</f>
        <v/>
      </c>
      <c r="F540" s="6">
        <f>IFERROR(INDEX('Annotator B'!$U$5:$U$44,MATCH($A540,'Annotator B'!$A$5:$A$44,0))&amp;"","")</f>
        <v/>
      </c>
      <c r="G540" s="6">
        <f>IF(AND(E540="",F540=""),"",IF(E540=F540,"agree","DIFFER"))</f>
        <v/>
      </c>
      <c r="H540" s="7" t="n"/>
      <c r="I540" s="6">
        <f>IF(H540&lt;&gt;"",H540,IF(G540="agree",E540,""))</f>
        <v/>
      </c>
    </row>
    <row r="541">
      <c r="A541" s="6" t="inlineStr">
        <is>
          <t>L27</t>
        </is>
      </c>
      <c r="B541" s="6" t="inlineStr">
        <is>
          <t>vague</t>
        </is>
      </c>
      <c r="C541" s="6" t="inlineStr">
        <is>
          <t>Risk — Vendor</t>
        </is>
      </c>
      <c r="D541" s="6" t="inlineStr"/>
      <c r="E541" s="6">
        <f>IFERROR(INDEX('Annotator A'!$V$5:$V$44,MATCH($A541,'Annotator A'!$A$5:$A$44,0))&amp;"","")</f>
        <v/>
      </c>
      <c r="F541" s="6">
        <f>IFERROR(INDEX('Annotator B'!$V$5:$V$44,MATCH($A541,'Annotator B'!$A$5:$A$44,0))&amp;"","")</f>
        <v/>
      </c>
      <c r="G541" s="6">
        <f>IF(AND(E541="",F541=""),"",IF(E541=F541,"agree","DIFFER"))</f>
        <v/>
      </c>
      <c r="H541" s="7" t="n"/>
      <c r="I541" s="6">
        <f>IF(H541&lt;&gt;"",H541,IF(G541="agree",E541,""))</f>
        <v/>
      </c>
    </row>
    <row r="542">
      <c r="A542" s="6" t="inlineStr">
        <is>
          <t>L28</t>
        </is>
      </c>
      <c r="B542" s="6" t="inlineStr">
        <is>
          <t>vague</t>
        </is>
      </c>
      <c r="C542" s="6" t="inlineStr">
        <is>
          <t>Use cases</t>
        </is>
      </c>
      <c r="D542" s="6" t="inlineStr"/>
      <c r="E542" s="6">
        <f>IFERROR(INDEX('Annotator A'!$C$5:$C$44,MATCH($A542,'Annotator A'!$A$5:$A$44,0))&amp;"","")</f>
        <v/>
      </c>
      <c r="F542" s="6">
        <f>IFERROR(INDEX('Annotator B'!$C$5:$C$44,MATCH($A542,'Annotator B'!$A$5:$A$44,0))&amp;"","")</f>
        <v/>
      </c>
      <c r="G542" s="6" t="inlineStr">
        <is>
          <t>read both</t>
        </is>
      </c>
      <c r="H542" s="7" t="n"/>
      <c r="I542" s="6">
        <f>IF(H542&lt;&gt;"",H542,"")</f>
        <v/>
      </c>
    </row>
    <row r="543">
      <c r="A543" s="6" t="inlineStr">
        <is>
          <t>L28</t>
        </is>
      </c>
      <c r="B543" s="6" t="inlineStr">
        <is>
          <t>vague</t>
        </is>
      </c>
      <c r="C543" s="6" t="inlineStr">
        <is>
          <t>Value — Business impact</t>
        </is>
      </c>
      <c r="D543" s="6" t="inlineStr"/>
      <c r="E543" s="6">
        <f>IFERROR(INDEX('Annotator A'!$D$5:$D$44,MATCH($A543,'Annotator A'!$A$5:$A$44,0))&amp;"","")</f>
        <v/>
      </c>
      <c r="F543" s="6">
        <f>IFERROR(INDEX('Annotator B'!$D$5:$D$44,MATCH($A543,'Annotator B'!$A$5:$A$44,0))&amp;"","")</f>
        <v/>
      </c>
      <c r="G543" s="6">
        <f>IF(AND(E543="",F543=""),"",IF(E543=F543,"agree","DIFFER"))</f>
        <v/>
      </c>
      <c r="H543" s="7" t="n"/>
      <c r="I543" s="6">
        <f>IF(H543&lt;&gt;"",H543,IF(G543="agree",E543,""))</f>
        <v/>
      </c>
    </row>
    <row r="544">
      <c r="A544" s="6" t="inlineStr">
        <is>
          <t>L28</t>
        </is>
      </c>
      <c r="B544" s="6" t="inlineStr">
        <is>
          <t>vague</t>
        </is>
      </c>
      <c r="C544" s="6" t="inlineStr">
        <is>
          <t>Value — Productivity</t>
        </is>
      </c>
      <c r="D544" s="6" t="inlineStr"/>
      <c r="E544" s="6">
        <f>IFERROR(INDEX('Annotator A'!$E$5:$E$44,MATCH($A544,'Annotator A'!$A$5:$A$44,0))&amp;"","")</f>
        <v/>
      </c>
      <c r="F544" s="6">
        <f>IFERROR(INDEX('Annotator B'!$E$5:$E$44,MATCH($A544,'Annotator B'!$A$5:$A$44,0))&amp;"","")</f>
        <v/>
      </c>
      <c r="G544" s="6">
        <f>IF(AND(E544="",F544=""),"",IF(E544=F544,"agree","DIFFER"))</f>
        <v/>
      </c>
      <c r="H544" s="7" t="n"/>
      <c r="I544" s="6">
        <f>IF(H544&lt;&gt;"",H544,IF(G544="agree",E544,""))</f>
        <v/>
      </c>
    </row>
    <row r="545">
      <c r="A545" s="6" t="inlineStr">
        <is>
          <t>L28</t>
        </is>
      </c>
      <c r="B545" s="6" t="inlineStr">
        <is>
          <t>vague</t>
        </is>
      </c>
      <c r="C545" s="6" t="inlineStr">
        <is>
          <t>Value — Cost reduction</t>
        </is>
      </c>
      <c r="D545" s="6" t="inlineStr"/>
      <c r="E545" s="6">
        <f>IFERROR(INDEX('Annotator A'!$F$5:$F$44,MATCH($A545,'Annotator A'!$A$5:$A$44,0))&amp;"","")</f>
        <v/>
      </c>
      <c r="F545" s="6">
        <f>IFERROR(INDEX('Annotator B'!$F$5:$F$44,MATCH($A545,'Annotator B'!$A$5:$A$44,0))&amp;"","")</f>
        <v/>
      </c>
      <c r="G545" s="6">
        <f>IF(AND(E545="",F545=""),"",IF(E545=F545,"agree","DIFFER"))</f>
        <v/>
      </c>
      <c r="H545" s="7" t="n"/>
      <c r="I545" s="6">
        <f>IF(H545&lt;&gt;"",H545,IF(G545="agree",E545,""))</f>
        <v/>
      </c>
    </row>
    <row r="546">
      <c r="A546" s="6" t="inlineStr">
        <is>
          <t>L28</t>
        </is>
      </c>
      <c r="B546" s="6" t="inlineStr">
        <is>
          <t>vague</t>
        </is>
      </c>
      <c r="C546" s="6" t="inlineStr">
        <is>
          <t>Value — Revenue</t>
        </is>
      </c>
      <c r="D546" s="6" t="inlineStr"/>
      <c r="E546" s="6">
        <f>IFERROR(INDEX('Annotator A'!$G$5:$G$44,MATCH($A546,'Annotator A'!$A$5:$A$44,0))&amp;"","")</f>
        <v/>
      </c>
      <c r="F546" s="6">
        <f>IFERROR(INDEX('Annotator B'!$G$5:$G$44,MATCH($A546,'Annotator B'!$A$5:$A$44,0))&amp;"","")</f>
        <v/>
      </c>
      <c r="G546" s="6">
        <f>IF(AND(E546="",F546=""),"",IF(E546=F546,"agree","DIFFER"))</f>
        <v/>
      </c>
      <c r="H546" s="7" t="n"/>
      <c r="I546" s="6">
        <f>IF(H546&lt;&gt;"",H546,IF(G546="agree",E546,""))</f>
        <v/>
      </c>
    </row>
    <row r="547">
      <c r="A547" s="6" t="inlineStr">
        <is>
          <t>L28</t>
        </is>
      </c>
      <c r="B547" s="6" t="inlineStr">
        <is>
          <t>vague</t>
        </is>
      </c>
      <c r="C547" s="6" t="inlineStr">
        <is>
          <t>Value — Employee experience</t>
        </is>
      </c>
      <c r="D547" s="6" t="inlineStr"/>
      <c r="E547" s="6">
        <f>IFERROR(INDEX('Annotator A'!$H$5:$H$44,MATCH($A547,'Annotator A'!$A$5:$A$44,0))&amp;"","")</f>
        <v/>
      </c>
      <c r="F547" s="6">
        <f>IFERROR(INDEX('Annotator B'!$H$5:$H$44,MATCH($A547,'Annotator B'!$A$5:$A$44,0))&amp;"","")</f>
        <v/>
      </c>
      <c r="G547" s="6">
        <f>IF(AND(E547="",F547=""),"",IF(E547=F547,"agree","DIFFER"))</f>
        <v/>
      </c>
      <c r="H547" s="7" t="n"/>
      <c r="I547" s="6">
        <f>IF(H547&lt;&gt;"",H547,IF(G547="agree",E547,""))</f>
        <v/>
      </c>
    </row>
    <row r="548">
      <c r="A548" s="6" t="inlineStr">
        <is>
          <t>L28</t>
        </is>
      </c>
      <c r="B548" s="6" t="inlineStr">
        <is>
          <t>vague</t>
        </is>
      </c>
      <c r="C548" s="6" t="inlineStr">
        <is>
          <t>Value — Customer impact</t>
        </is>
      </c>
      <c r="D548" s="6" t="inlineStr"/>
      <c r="E548" s="6">
        <f>IFERROR(INDEX('Annotator A'!$I$5:$I$44,MATCH($A548,'Annotator A'!$A$5:$A$44,0))&amp;"","")</f>
        <v/>
      </c>
      <c r="F548" s="6">
        <f>IFERROR(INDEX('Annotator B'!$I$5:$I$44,MATCH($A548,'Annotator B'!$A$5:$A$44,0))&amp;"","")</f>
        <v/>
      </c>
      <c r="G548" s="6">
        <f>IF(AND(E548="",F548=""),"",IF(E548=F548,"agree","DIFFER"))</f>
        <v/>
      </c>
      <c r="H548" s="7" t="n"/>
      <c r="I548" s="6">
        <f>IF(H548&lt;&gt;"",H548,IF(G548="agree",E548,""))</f>
        <v/>
      </c>
    </row>
    <row r="549">
      <c r="A549" s="6" t="inlineStr">
        <is>
          <t>L28</t>
        </is>
      </c>
      <c r="B549" s="6" t="inlineStr">
        <is>
          <t>vague</t>
        </is>
      </c>
      <c r="C549" s="6" t="inlineStr">
        <is>
          <t>Value — Operational</t>
        </is>
      </c>
      <c r="D549" s="6" t="inlineStr"/>
      <c r="E549" s="6">
        <f>IFERROR(INDEX('Annotator A'!$J$5:$J$44,MATCH($A549,'Annotator A'!$A$5:$A$44,0))&amp;"","")</f>
        <v/>
      </c>
      <c r="F549" s="6">
        <f>IFERROR(INDEX('Annotator B'!$J$5:$J$44,MATCH($A549,'Annotator B'!$A$5:$A$44,0))&amp;"","")</f>
        <v/>
      </c>
      <c r="G549" s="6">
        <f>IF(AND(E549="",F549=""),"",IF(E549=F549,"agree","DIFFER"))</f>
        <v/>
      </c>
      <c r="H549" s="7" t="n"/>
      <c r="I549" s="6">
        <f>IF(H549&lt;&gt;"",H549,IF(G549="agree",E549,""))</f>
        <v/>
      </c>
    </row>
    <row r="550">
      <c r="A550" s="6" t="inlineStr">
        <is>
          <t>L28</t>
        </is>
      </c>
      <c r="B550" s="6" t="inlineStr">
        <is>
          <t>vague</t>
        </is>
      </c>
      <c r="C550" s="6" t="inlineStr">
        <is>
          <t>Value — Problem severity</t>
        </is>
      </c>
      <c r="D550" s="6" t="inlineStr"/>
      <c r="E550" s="6">
        <f>IFERROR(INDEX('Annotator A'!$K$5:$K$44,MATCH($A550,'Annotator A'!$A$5:$A$44,0))&amp;"","")</f>
        <v/>
      </c>
      <c r="F550" s="6">
        <f>IFERROR(INDEX('Annotator B'!$K$5:$K$44,MATCH($A550,'Annotator B'!$A$5:$A$44,0))&amp;"","")</f>
        <v/>
      </c>
      <c r="G550" s="6">
        <f>IF(AND(E550="",F550=""),"",IF(E550=F550,"agree","DIFFER"))</f>
        <v/>
      </c>
      <c r="H550" s="7" t="n"/>
      <c r="I550" s="6">
        <f>IF(H550&lt;&gt;"",H550,IF(G550="agree",E550,""))</f>
        <v/>
      </c>
    </row>
    <row r="551">
      <c r="A551" s="6" t="inlineStr">
        <is>
          <t>L28</t>
        </is>
      </c>
      <c r="B551" s="6" t="inlineStr">
        <is>
          <t>vague</t>
        </is>
      </c>
      <c r="C551" s="6" t="inlineStr">
        <is>
          <t>Value — Problem frequency</t>
        </is>
      </c>
      <c r="D551" s="6" t="inlineStr"/>
      <c r="E551" s="6">
        <f>IFERROR(INDEX('Annotator A'!$L$5:$L$44,MATCH($A551,'Annotator A'!$A$5:$A$44,0))&amp;"","")</f>
        <v/>
      </c>
      <c r="F551" s="6">
        <f>IFERROR(INDEX('Annotator B'!$L$5:$L$44,MATCH($A551,'Annotator B'!$A$5:$A$44,0))&amp;"","")</f>
        <v/>
      </c>
      <c r="G551" s="6">
        <f>IF(AND(E551="",F551=""),"",IF(E551=F551,"agree","DIFFER"))</f>
        <v/>
      </c>
      <c r="H551" s="7" t="n"/>
      <c r="I551" s="6">
        <f>IF(H551&lt;&gt;"",H551,IF(G551="agree",E551,""))</f>
        <v/>
      </c>
    </row>
    <row r="552">
      <c r="A552" s="6" t="inlineStr">
        <is>
          <t>L28</t>
        </is>
      </c>
      <c r="B552" s="6" t="inlineStr">
        <is>
          <t>vague</t>
        </is>
      </c>
      <c r="C552" s="6" t="inlineStr">
        <is>
          <t>Feasibility status</t>
        </is>
      </c>
      <c r="D552" s="6" t="inlineStr"/>
      <c r="E552" s="6">
        <f>IFERROR(INDEX('Annotator A'!$M$5:$M$44,MATCH($A552,'Annotator A'!$A$5:$A$44,0))&amp;"","")</f>
        <v/>
      </c>
      <c r="F552" s="6">
        <f>IFERROR(INDEX('Annotator B'!$M$5:$M$44,MATCH($A552,'Annotator B'!$A$5:$A$44,0))&amp;"","")</f>
        <v/>
      </c>
      <c r="G552" s="6">
        <f>IF(AND(E552="",F552=""),"",IF(E552=F552,"agree","DIFFER"))</f>
        <v/>
      </c>
      <c r="H552" s="7" t="n"/>
      <c r="I552" s="6">
        <f>IF(H552&lt;&gt;"",H552,IF(G552="agree",E552,""))</f>
        <v/>
      </c>
    </row>
    <row r="553">
      <c r="A553" s="6" t="inlineStr">
        <is>
          <t>L28</t>
        </is>
      </c>
      <c r="B553" s="6" t="inlineStr">
        <is>
          <t>vague</t>
        </is>
      </c>
      <c r="C553" s="6" t="inlineStr">
        <is>
          <t>Risk — Technical</t>
        </is>
      </c>
      <c r="D553" s="6" t="inlineStr"/>
      <c r="E553" s="6">
        <f>IFERROR(INDEX('Annotator A'!$N$5:$N$44,MATCH($A553,'Annotator A'!$A$5:$A$44,0))&amp;"","")</f>
        <v/>
      </c>
      <c r="F553" s="6">
        <f>IFERROR(INDEX('Annotator B'!$N$5:$N$44,MATCH($A553,'Annotator B'!$A$5:$A$44,0))&amp;"","")</f>
        <v/>
      </c>
      <c r="G553" s="6">
        <f>IF(AND(E553="",F553=""),"",IF(E553=F553,"agree","DIFFER"))</f>
        <v/>
      </c>
      <c r="H553" s="7" t="n"/>
      <c r="I553" s="6">
        <f>IF(H553&lt;&gt;"",H553,IF(G553="agree",E553,""))</f>
        <v/>
      </c>
    </row>
    <row r="554">
      <c r="A554" s="6" t="inlineStr">
        <is>
          <t>L28</t>
        </is>
      </c>
      <c r="B554" s="6" t="inlineStr">
        <is>
          <t>vague</t>
        </is>
      </c>
      <c r="C554" s="6" t="inlineStr">
        <is>
          <t>Risk — Security</t>
        </is>
      </c>
      <c r="D554" s="6" t="inlineStr"/>
      <c r="E554" s="6">
        <f>IFERROR(INDEX('Annotator A'!$O$5:$O$44,MATCH($A554,'Annotator A'!$A$5:$A$44,0))&amp;"","")</f>
        <v/>
      </c>
      <c r="F554" s="6">
        <f>IFERROR(INDEX('Annotator B'!$O$5:$O$44,MATCH($A554,'Annotator B'!$A$5:$A$44,0))&amp;"","")</f>
        <v/>
      </c>
      <c r="G554" s="6">
        <f>IF(AND(E554="",F554=""),"",IF(E554=F554,"agree","DIFFER"))</f>
        <v/>
      </c>
      <c r="H554" s="7" t="n"/>
      <c r="I554" s="6">
        <f>IF(H554&lt;&gt;"",H554,IF(G554="agree",E554,""))</f>
        <v/>
      </c>
    </row>
    <row r="555">
      <c r="A555" s="6" t="inlineStr">
        <is>
          <t>L28</t>
        </is>
      </c>
      <c r="B555" s="6" t="inlineStr">
        <is>
          <t>vague</t>
        </is>
      </c>
      <c r="C555" s="6" t="inlineStr">
        <is>
          <t>Risk — Privacy</t>
        </is>
      </c>
      <c r="D555" s="6" t="inlineStr"/>
      <c r="E555" s="6">
        <f>IFERROR(INDEX('Annotator A'!$P$5:$P$44,MATCH($A555,'Annotator A'!$A$5:$A$44,0))&amp;"","")</f>
        <v/>
      </c>
      <c r="F555" s="6">
        <f>IFERROR(INDEX('Annotator B'!$P$5:$P$44,MATCH($A555,'Annotator B'!$A$5:$A$44,0))&amp;"","")</f>
        <v/>
      </c>
      <c r="G555" s="6">
        <f>IF(AND(E555="",F555=""),"",IF(E555=F555,"agree","DIFFER"))</f>
        <v/>
      </c>
      <c r="H555" s="7" t="n"/>
      <c r="I555" s="6">
        <f>IF(H555&lt;&gt;"",H555,IF(G555="agree",E555,""))</f>
        <v/>
      </c>
    </row>
    <row r="556">
      <c r="A556" s="6" t="inlineStr">
        <is>
          <t>L28</t>
        </is>
      </c>
      <c r="B556" s="6" t="inlineStr">
        <is>
          <t>vague</t>
        </is>
      </c>
      <c r="C556" s="6" t="inlineStr">
        <is>
          <t>Risk — Compliance</t>
        </is>
      </c>
      <c r="D556" s="6" t="inlineStr"/>
      <c r="E556" s="6">
        <f>IFERROR(INDEX('Annotator A'!$Q$5:$Q$44,MATCH($A556,'Annotator A'!$A$5:$A$44,0))&amp;"","")</f>
        <v/>
      </c>
      <c r="F556" s="6">
        <f>IFERROR(INDEX('Annotator B'!$Q$5:$Q$44,MATCH($A556,'Annotator B'!$A$5:$A$44,0))&amp;"","")</f>
        <v/>
      </c>
      <c r="G556" s="6">
        <f>IF(AND(E556="",F556=""),"",IF(E556=F556,"agree","DIFFER"))</f>
        <v/>
      </c>
      <c r="H556" s="7" t="n"/>
      <c r="I556" s="6">
        <f>IF(H556&lt;&gt;"",H556,IF(G556="agree",E556,""))</f>
        <v/>
      </c>
    </row>
    <row r="557">
      <c r="A557" s="6" t="inlineStr">
        <is>
          <t>L28</t>
        </is>
      </c>
      <c r="B557" s="6" t="inlineStr">
        <is>
          <t>vague</t>
        </is>
      </c>
      <c r="C557" s="6" t="inlineStr">
        <is>
          <t>Risk — Financial</t>
        </is>
      </c>
      <c r="D557" s="6" t="inlineStr"/>
      <c r="E557" s="6">
        <f>IFERROR(INDEX('Annotator A'!$R$5:$R$44,MATCH($A557,'Annotator A'!$A$5:$A$44,0))&amp;"","")</f>
        <v/>
      </c>
      <c r="F557" s="6">
        <f>IFERROR(INDEX('Annotator B'!$R$5:$R$44,MATCH($A557,'Annotator B'!$A$5:$A$44,0))&amp;"","")</f>
        <v/>
      </c>
      <c r="G557" s="6">
        <f>IF(AND(E557="",F557=""),"",IF(E557=F557,"agree","DIFFER"))</f>
        <v/>
      </c>
      <c r="H557" s="7" t="n"/>
      <c r="I557" s="6">
        <f>IF(H557&lt;&gt;"",H557,IF(G557="agree",E557,""))</f>
        <v/>
      </c>
    </row>
    <row r="558">
      <c r="A558" s="6" t="inlineStr">
        <is>
          <t>L28</t>
        </is>
      </c>
      <c r="B558" s="6" t="inlineStr">
        <is>
          <t>vague</t>
        </is>
      </c>
      <c r="C558" s="6" t="inlineStr">
        <is>
          <t>Risk — Operational</t>
        </is>
      </c>
      <c r="D558" s="6" t="inlineStr"/>
      <c r="E558" s="6">
        <f>IFERROR(INDEX('Annotator A'!$S$5:$S$44,MATCH($A558,'Annotator A'!$A$5:$A$44,0))&amp;"","")</f>
        <v/>
      </c>
      <c r="F558" s="6">
        <f>IFERROR(INDEX('Annotator B'!$S$5:$S$44,MATCH($A558,'Annotator B'!$A$5:$A$44,0))&amp;"","")</f>
        <v/>
      </c>
      <c r="G558" s="6">
        <f>IF(AND(E558="",F558=""),"",IF(E558=F558,"agree","DIFFER"))</f>
        <v/>
      </c>
      <c r="H558" s="7" t="n"/>
      <c r="I558" s="6">
        <f>IF(H558&lt;&gt;"",H558,IF(G558="agree",E558,""))</f>
        <v/>
      </c>
    </row>
    <row r="559">
      <c r="A559" s="6" t="inlineStr">
        <is>
          <t>L28</t>
        </is>
      </c>
      <c r="B559" s="6" t="inlineStr">
        <is>
          <t>vague</t>
        </is>
      </c>
      <c r="C559" s="6" t="inlineStr">
        <is>
          <t>Risk — Adoption</t>
        </is>
      </c>
      <c r="D559" s="6" t="inlineStr"/>
      <c r="E559" s="6">
        <f>IFERROR(INDEX('Annotator A'!$T$5:$T$44,MATCH($A559,'Annotator A'!$A$5:$A$44,0))&amp;"","")</f>
        <v/>
      </c>
      <c r="F559" s="6">
        <f>IFERROR(INDEX('Annotator B'!$T$5:$T$44,MATCH($A559,'Annotator B'!$A$5:$A$44,0))&amp;"","")</f>
        <v/>
      </c>
      <c r="G559" s="6">
        <f>IF(AND(E559="",F559=""),"",IF(E559=F559,"agree","DIFFER"))</f>
        <v/>
      </c>
      <c r="H559" s="7" t="n"/>
      <c r="I559" s="6">
        <f>IF(H559&lt;&gt;"",H559,IF(G559="agree",E559,""))</f>
        <v/>
      </c>
    </row>
    <row r="560">
      <c r="A560" s="6" t="inlineStr">
        <is>
          <t>L28</t>
        </is>
      </c>
      <c r="B560" s="6" t="inlineStr">
        <is>
          <t>vague</t>
        </is>
      </c>
      <c r="C560" s="6" t="inlineStr">
        <is>
          <t>Risk — Data</t>
        </is>
      </c>
      <c r="D560" s="6" t="inlineStr"/>
      <c r="E560" s="6">
        <f>IFERROR(INDEX('Annotator A'!$U$5:$U$44,MATCH($A560,'Annotator A'!$A$5:$A$44,0))&amp;"","")</f>
        <v/>
      </c>
      <c r="F560" s="6">
        <f>IFERROR(INDEX('Annotator B'!$U$5:$U$44,MATCH($A560,'Annotator B'!$A$5:$A$44,0))&amp;"","")</f>
        <v/>
      </c>
      <c r="G560" s="6">
        <f>IF(AND(E560="",F560=""),"",IF(E560=F560,"agree","DIFFER"))</f>
        <v/>
      </c>
      <c r="H560" s="7" t="n"/>
      <c r="I560" s="6">
        <f>IF(H560&lt;&gt;"",H560,IF(G560="agree",E560,""))</f>
        <v/>
      </c>
    </row>
    <row r="561">
      <c r="A561" s="6" t="inlineStr">
        <is>
          <t>L28</t>
        </is>
      </c>
      <c r="B561" s="6" t="inlineStr">
        <is>
          <t>vague</t>
        </is>
      </c>
      <c r="C561" s="6" t="inlineStr">
        <is>
          <t>Risk — Vendor</t>
        </is>
      </c>
      <c r="D561" s="6" t="inlineStr"/>
      <c r="E561" s="6">
        <f>IFERROR(INDEX('Annotator A'!$V$5:$V$44,MATCH($A561,'Annotator A'!$A$5:$A$44,0))&amp;"","")</f>
        <v/>
      </c>
      <c r="F561" s="6">
        <f>IFERROR(INDEX('Annotator B'!$V$5:$V$44,MATCH($A561,'Annotator B'!$A$5:$A$44,0))&amp;"","")</f>
        <v/>
      </c>
      <c r="G561" s="6">
        <f>IF(AND(E561="",F561=""),"",IF(E561=F561,"agree","DIFFER"))</f>
        <v/>
      </c>
      <c r="H561" s="7" t="n"/>
      <c r="I561" s="6">
        <f>IF(H561&lt;&gt;"",H561,IF(G561="agree",E561,""))</f>
        <v/>
      </c>
    </row>
    <row r="562">
      <c r="A562" s="6" t="inlineStr">
        <is>
          <t>L29</t>
        </is>
      </c>
      <c r="B562" s="6" t="inlineStr">
        <is>
          <t>vague</t>
        </is>
      </c>
      <c r="C562" s="6" t="inlineStr">
        <is>
          <t>Use cases</t>
        </is>
      </c>
      <c r="D562" s="6" t="inlineStr"/>
      <c r="E562" s="6">
        <f>IFERROR(INDEX('Annotator A'!$C$5:$C$44,MATCH($A562,'Annotator A'!$A$5:$A$44,0))&amp;"","")</f>
        <v/>
      </c>
      <c r="F562" s="6">
        <f>IFERROR(INDEX('Annotator B'!$C$5:$C$44,MATCH($A562,'Annotator B'!$A$5:$A$44,0))&amp;"","")</f>
        <v/>
      </c>
      <c r="G562" s="6" t="inlineStr">
        <is>
          <t>read both</t>
        </is>
      </c>
      <c r="H562" s="7" t="n"/>
      <c r="I562" s="6">
        <f>IF(H562&lt;&gt;"",H562,"")</f>
        <v/>
      </c>
    </row>
    <row r="563">
      <c r="A563" s="6" t="inlineStr">
        <is>
          <t>L29</t>
        </is>
      </c>
      <c r="B563" s="6" t="inlineStr">
        <is>
          <t>vague</t>
        </is>
      </c>
      <c r="C563" s="6" t="inlineStr">
        <is>
          <t>Value — Business impact</t>
        </is>
      </c>
      <c r="D563" s="6" t="inlineStr"/>
      <c r="E563" s="6">
        <f>IFERROR(INDEX('Annotator A'!$D$5:$D$44,MATCH($A563,'Annotator A'!$A$5:$A$44,0))&amp;"","")</f>
        <v/>
      </c>
      <c r="F563" s="6">
        <f>IFERROR(INDEX('Annotator B'!$D$5:$D$44,MATCH($A563,'Annotator B'!$A$5:$A$44,0))&amp;"","")</f>
        <v/>
      </c>
      <c r="G563" s="6">
        <f>IF(AND(E563="",F563=""),"",IF(E563=F563,"agree","DIFFER"))</f>
        <v/>
      </c>
      <c r="H563" s="7" t="n"/>
      <c r="I563" s="6">
        <f>IF(H563&lt;&gt;"",H563,IF(G563="agree",E563,""))</f>
        <v/>
      </c>
    </row>
    <row r="564">
      <c r="A564" s="6" t="inlineStr">
        <is>
          <t>L29</t>
        </is>
      </c>
      <c r="B564" s="6" t="inlineStr">
        <is>
          <t>vague</t>
        </is>
      </c>
      <c r="C564" s="6" t="inlineStr">
        <is>
          <t>Value — Productivity</t>
        </is>
      </c>
      <c r="D564" s="6" t="inlineStr"/>
      <c r="E564" s="6">
        <f>IFERROR(INDEX('Annotator A'!$E$5:$E$44,MATCH($A564,'Annotator A'!$A$5:$A$44,0))&amp;"","")</f>
        <v/>
      </c>
      <c r="F564" s="6">
        <f>IFERROR(INDEX('Annotator B'!$E$5:$E$44,MATCH($A564,'Annotator B'!$A$5:$A$44,0))&amp;"","")</f>
        <v/>
      </c>
      <c r="G564" s="6">
        <f>IF(AND(E564="",F564=""),"",IF(E564=F564,"agree","DIFFER"))</f>
        <v/>
      </c>
      <c r="H564" s="7" t="n"/>
      <c r="I564" s="6">
        <f>IF(H564&lt;&gt;"",H564,IF(G564="agree",E564,""))</f>
        <v/>
      </c>
    </row>
    <row r="565">
      <c r="A565" s="6" t="inlineStr">
        <is>
          <t>L29</t>
        </is>
      </c>
      <c r="B565" s="6" t="inlineStr">
        <is>
          <t>vague</t>
        </is>
      </c>
      <c r="C565" s="6" t="inlineStr">
        <is>
          <t>Value — Cost reduction</t>
        </is>
      </c>
      <c r="D565" s="6" t="inlineStr"/>
      <c r="E565" s="6">
        <f>IFERROR(INDEX('Annotator A'!$F$5:$F$44,MATCH($A565,'Annotator A'!$A$5:$A$44,0))&amp;"","")</f>
        <v/>
      </c>
      <c r="F565" s="6">
        <f>IFERROR(INDEX('Annotator B'!$F$5:$F$44,MATCH($A565,'Annotator B'!$A$5:$A$44,0))&amp;"","")</f>
        <v/>
      </c>
      <c r="G565" s="6">
        <f>IF(AND(E565="",F565=""),"",IF(E565=F565,"agree","DIFFER"))</f>
        <v/>
      </c>
      <c r="H565" s="7" t="n"/>
      <c r="I565" s="6">
        <f>IF(H565&lt;&gt;"",H565,IF(G565="agree",E565,""))</f>
        <v/>
      </c>
    </row>
    <row r="566">
      <c r="A566" s="6" t="inlineStr">
        <is>
          <t>L29</t>
        </is>
      </c>
      <c r="B566" s="6" t="inlineStr">
        <is>
          <t>vague</t>
        </is>
      </c>
      <c r="C566" s="6" t="inlineStr">
        <is>
          <t>Value — Revenue</t>
        </is>
      </c>
      <c r="D566" s="6" t="inlineStr"/>
      <c r="E566" s="6">
        <f>IFERROR(INDEX('Annotator A'!$G$5:$G$44,MATCH($A566,'Annotator A'!$A$5:$A$44,0))&amp;"","")</f>
        <v/>
      </c>
      <c r="F566" s="6">
        <f>IFERROR(INDEX('Annotator B'!$G$5:$G$44,MATCH($A566,'Annotator B'!$A$5:$A$44,0))&amp;"","")</f>
        <v/>
      </c>
      <c r="G566" s="6">
        <f>IF(AND(E566="",F566=""),"",IF(E566=F566,"agree","DIFFER"))</f>
        <v/>
      </c>
      <c r="H566" s="7" t="n"/>
      <c r="I566" s="6">
        <f>IF(H566&lt;&gt;"",H566,IF(G566="agree",E566,""))</f>
        <v/>
      </c>
    </row>
    <row r="567">
      <c r="A567" s="6" t="inlineStr">
        <is>
          <t>L29</t>
        </is>
      </c>
      <c r="B567" s="6" t="inlineStr">
        <is>
          <t>vague</t>
        </is>
      </c>
      <c r="C567" s="6" t="inlineStr">
        <is>
          <t>Value — Employee experience</t>
        </is>
      </c>
      <c r="D567" s="6" t="inlineStr"/>
      <c r="E567" s="6">
        <f>IFERROR(INDEX('Annotator A'!$H$5:$H$44,MATCH($A567,'Annotator A'!$A$5:$A$44,0))&amp;"","")</f>
        <v/>
      </c>
      <c r="F567" s="6">
        <f>IFERROR(INDEX('Annotator B'!$H$5:$H$44,MATCH($A567,'Annotator B'!$A$5:$A$44,0))&amp;"","")</f>
        <v/>
      </c>
      <c r="G567" s="6">
        <f>IF(AND(E567="",F567=""),"",IF(E567=F567,"agree","DIFFER"))</f>
        <v/>
      </c>
      <c r="H567" s="7" t="n"/>
      <c r="I567" s="6">
        <f>IF(H567&lt;&gt;"",H567,IF(G567="agree",E567,""))</f>
        <v/>
      </c>
    </row>
    <row r="568">
      <c r="A568" s="6" t="inlineStr">
        <is>
          <t>L29</t>
        </is>
      </c>
      <c r="B568" s="6" t="inlineStr">
        <is>
          <t>vague</t>
        </is>
      </c>
      <c r="C568" s="6" t="inlineStr">
        <is>
          <t>Value — Customer impact</t>
        </is>
      </c>
      <c r="D568" s="6" t="inlineStr"/>
      <c r="E568" s="6">
        <f>IFERROR(INDEX('Annotator A'!$I$5:$I$44,MATCH($A568,'Annotator A'!$A$5:$A$44,0))&amp;"","")</f>
        <v/>
      </c>
      <c r="F568" s="6">
        <f>IFERROR(INDEX('Annotator B'!$I$5:$I$44,MATCH($A568,'Annotator B'!$A$5:$A$44,0))&amp;"","")</f>
        <v/>
      </c>
      <c r="G568" s="6">
        <f>IF(AND(E568="",F568=""),"",IF(E568=F568,"agree","DIFFER"))</f>
        <v/>
      </c>
      <c r="H568" s="7" t="n"/>
      <c r="I568" s="6">
        <f>IF(H568&lt;&gt;"",H568,IF(G568="agree",E568,""))</f>
        <v/>
      </c>
    </row>
    <row r="569">
      <c r="A569" s="6" t="inlineStr">
        <is>
          <t>L29</t>
        </is>
      </c>
      <c r="B569" s="6" t="inlineStr">
        <is>
          <t>vague</t>
        </is>
      </c>
      <c r="C569" s="6" t="inlineStr">
        <is>
          <t>Value — Operational</t>
        </is>
      </c>
      <c r="D569" s="6" t="inlineStr"/>
      <c r="E569" s="6">
        <f>IFERROR(INDEX('Annotator A'!$J$5:$J$44,MATCH($A569,'Annotator A'!$A$5:$A$44,0))&amp;"","")</f>
        <v/>
      </c>
      <c r="F569" s="6">
        <f>IFERROR(INDEX('Annotator B'!$J$5:$J$44,MATCH($A569,'Annotator B'!$A$5:$A$44,0))&amp;"","")</f>
        <v/>
      </c>
      <c r="G569" s="6">
        <f>IF(AND(E569="",F569=""),"",IF(E569=F569,"agree","DIFFER"))</f>
        <v/>
      </c>
      <c r="H569" s="7" t="n"/>
      <c r="I569" s="6">
        <f>IF(H569&lt;&gt;"",H569,IF(G569="agree",E569,""))</f>
        <v/>
      </c>
    </row>
    <row r="570">
      <c r="A570" s="6" t="inlineStr">
        <is>
          <t>L29</t>
        </is>
      </c>
      <c r="B570" s="6" t="inlineStr">
        <is>
          <t>vague</t>
        </is>
      </c>
      <c r="C570" s="6" t="inlineStr">
        <is>
          <t>Value — Problem severity</t>
        </is>
      </c>
      <c r="D570" s="6" t="inlineStr"/>
      <c r="E570" s="6">
        <f>IFERROR(INDEX('Annotator A'!$K$5:$K$44,MATCH($A570,'Annotator A'!$A$5:$A$44,0))&amp;"","")</f>
        <v/>
      </c>
      <c r="F570" s="6">
        <f>IFERROR(INDEX('Annotator B'!$K$5:$K$44,MATCH($A570,'Annotator B'!$A$5:$A$44,0))&amp;"","")</f>
        <v/>
      </c>
      <c r="G570" s="6">
        <f>IF(AND(E570="",F570=""),"",IF(E570=F570,"agree","DIFFER"))</f>
        <v/>
      </c>
      <c r="H570" s="7" t="n"/>
      <c r="I570" s="6">
        <f>IF(H570&lt;&gt;"",H570,IF(G570="agree",E570,""))</f>
        <v/>
      </c>
    </row>
    <row r="571">
      <c r="A571" s="6" t="inlineStr">
        <is>
          <t>L29</t>
        </is>
      </c>
      <c r="B571" s="6" t="inlineStr">
        <is>
          <t>vague</t>
        </is>
      </c>
      <c r="C571" s="6" t="inlineStr">
        <is>
          <t>Value — Problem frequency</t>
        </is>
      </c>
      <c r="D571" s="6" t="inlineStr"/>
      <c r="E571" s="6">
        <f>IFERROR(INDEX('Annotator A'!$L$5:$L$44,MATCH($A571,'Annotator A'!$A$5:$A$44,0))&amp;"","")</f>
        <v/>
      </c>
      <c r="F571" s="6">
        <f>IFERROR(INDEX('Annotator B'!$L$5:$L$44,MATCH($A571,'Annotator B'!$A$5:$A$44,0))&amp;"","")</f>
        <v/>
      </c>
      <c r="G571" s="6">
        <f>IF(AND(E571="",F571=""),"",IF(E571=F571,"agree","DIFFER"))</f>
        <v/>
      </c>
      <c r="H571" s="7" t="n"/>
      <c r="I571" s="6">
        <f>IF(H571&lt;&gt;"",H571,IF(G571="agree",E571,""))</f>
        <v/>
      </c>
    </row>
    <row r="572">
      <c r="A572" s="6" t="inlineStr">
        <is>
          <t>L29</t>
        </is>
      </c>
      <c r="B572" s="6" t="inlineStr">
        <is>
          <t>vague</t>
        </is>
      </c>
      <c r="C572" s="6" t="inlineStr">
        <is>
          <t>Feasibility status</t>
        </is>
      </c>
      <c r="D572" s="6" t="inlineStr"/>
      <c r="E572" s="6">
        <f>IFERROR(INDEX('Annotator A'!$M$5:$M$44,MATCH($A572,'Annotator A'!$A$5:$A$44,0))&amp;"","")</f>
        <v/>
      </c>
      <c r="F572" s="6">
        <f>IFERROR(INDEX('Annotator B'!$M$5:$M$44,MATCH($A572,'Annotator B'!$A$5:$A$44,0))&amp;"","")</f>
        <v/>
      </c>
      <c r="G572" s="6">
        <f>IF(AND(E572="",F572=""),"",IF(E572=F572,"agree","DIFFER"))</f>
        <v/>
      </c>
      <c r="H572" s="7" t="n"/>
      <c r="I572" s="6">
        <f>IF(H572&lt;&gt;"",H572,IF(G572="agree",E572,""))</f>
        <v/>
      </c>
    </row>
    <row r="573">
      <c r="A573" s="6" t="inlineStr">
        <is>
          <t>L29</t>
        </is>
      </c>
      <c r="B573" s="6" t="inlineStr">
        <is>
          <t>vague</t>
        </is>
      </c>
      <c r="C573" s="6" t="inlineStr">
        <is>
          <t>Risk — Technical</t>
        </is>
      </c>
      <c r="D573" s="6" t="inlineStr"/>
      <c r="E573" s="6">
        <f>IFERROR(INDEX('Annotator A'!$N$5:$N$44,MATCH($A573,'Annotator A'!$A$5:$A$44,0))&amp;"","")</f>
        <v/>
      </c>
      <c r="F573" s="6">
        <f>IFERROR(INDEX('Annotator B'!$N$5:$N$44,MATCH($A573,'Annotator B'!$A$5:$A$44,0))&amp;"","")</f>
        <v/>
      </c>
      <c r="G573" s="6">
        <f>IF(AND(E573="",F573=""),"",IF(E573=F573,"agree","DIFFER"))</f>
        <v/>
      </c>
      <c r="H573" s="7" t="n"/>
      <c r="I573" s="6">
        <f>IF(H573&lt;&gt;"",H573,IF(G573="agree",E573,""))</f>
        <v/>
      </c>
    </row>
    <row r="574">
      <c r="A574" s="6" t="inlineStr">
        <is>
          <t>L29</t>
        </is>
      </c>
      <c r="B574" s="6" t="inlineStr">
        <is>
          <t>vague</t>
        </is>
      </c>
      <c r="C574" s="6" t="inlineStr">
        <is>
          <t>Risk — Security</t>
        </is>
      </c>
      <c r="D574" s="6" t="inlineStr"/>
      <c r="E574" s="6">
        <f>IFERROR(INDEX('Annotator A'!$O$5:$O$44,MATCH($A574,'Annotator A'!$A$5:$A$44,0))&amp;"","")</f>
        <v/>
      </c>
      <c r="F574" s="6">
        <f>IFERROR(INDEX('Annotator B'!$O$5:$O$44,MATCH($A574,'Annotator B'!$A$5:$A$44,0))&amp;"","")</f>
        <v/>
      </c>
      <c r="G574" s="6">
        <f>IF(AND(E574="",F574=""),"",IF(E574=F574,"agree","DIFFER"))</f>
        <v/>
      </c>
      <c r="H574" s="7" t="n"/>
      <c r="I574" s="6">
        <f>IF(H574&lt;&gt;"",H574,IF(G574="agree",E574,""))</f>
        <v/>
      </c>
    </row>
    <row r="575">
      <c r="A575" s="6" t="inlineStr">
        <is>
          <t>L29</t>
        </is>
      </c>
      <c r="B575" s="6" t="inlineStr">
        <is>
          <t>vague</t>
        </is>
      </c>
      <c r="C575" s="6" t="inlineStr">
        <is>
          <t>Risk — Privacy</t>
        </is>
      </c>
      <c r="D575" s="6" t="inlineStr"/>
      <c r="E575" s="6">
        <f>IFERROR(INDEX('Annotator A'!$P$5:$P$44,MATCH($A575,'Annotator A'!$A$5:$A$44,0))&amp;"","")</f>
        <v/>
      </c>
      <c r="F575" s="6">
        <f>IFERROR(INDEX('Annotator B'!$P$5:$P$44,MATCH($A575,'Annotator B'!$A$5:$A$44,0))&amp;"","")</f>
        <v/>
      </c>
      <c r="G575" s="6">
        <f>IF(AND(E575="",F575=""),"",IF(E575=F575,"agree","DIFFER"))</f>
        <v/>
      </c>
      <c r="H575" s="7" t="n"/>
      <c r="I575" s="6">
        <f>IF(H575&lt;&gt;"",H575,IF(G575="agree",E575,""))</f>
        <v/>
      </c>
    </row>
    <row r="576">
      <c r="A576" s="6" t="inlineStr">
        <is>
          <t>L29</t>
        </is>
      </c>
      <c r="B576" s="6" t="inlineStr">
        <is>
          <t>vague</t>
        </is>
      </c>
      <c r="C576" s="6" t="inlineStr">
        <is>
          <t>Risk — Compliance</t>
        </is>
      </c>
      <c r="D576" s="6" t="inlineStr"/>
      <c r="E576" s="6">
        <f>IFERROR(INDEX('Annotator A'!$Q$5:$Q$44,MATCH($A576,'Annotator A'!$A$5:$A$44,0))&amp;"","")</f>
        <v/>
      </c>
      <c r="F576" s="6">
        <f>IFERROR(INDEX('Annotator B'!$Q$5:$Q$44,MATCH($A576,'Annotator B'!$A$5:$A$44,0))&amp;"","")</f>
        <v/>
      </c>
      <c r="G576" s="6">
        <f>IF(AND(E576="",F576=""),"",IF(E576=F576,"agree","DIFFER"))</f>
        <v/>
      </c>
      <c r="H576" s="7" t="n"/>
      <c r="I576" s="6">
        <f>IF(H576&lt;&gt;"",H576,IF(G576="agree",E576,""))</f>
        <v/>
      </c>
    </row>
    <row r="577">
      <c r="A577" s="6" t="inlineStr">
        <is>
          <t>L29</t>
        </is>
      </c>
      <c r="B577" s="6" t="inlineStr">
        <is>
          <t>vague</t>
        </is>
      </c>
      <c r="C577" s="6" t="inlineStr">
        <is>
          <t>Risk — Financial</t>
        </is>
      </c>
      <c r="D577" s="6" t="inlineStr"/>
      <c r="E577" s="6">
        <f>IFERROR(INDEX('Annotator A'!$R$5:$R$44,MATCH($A577,'Annotator A'!$A$5:$A$44,0))&amp;"","")</f>
        <v/>
      </c>
      <c r="F577" s="6">
        <f>IFERROR(INDEX('Annotator B'!$R$5:$R$44,MATCH($A577,'Annotator B'!$A$5:$A$44,0))&amp;"","")</f>
        <v/>
      </c>
      <c r="G577" s="6">
        <f>IF(AND(E577="",F577=""),"",IF(E577=F577,"agree","DIFFER"))</f>
        <v/>
      </c>
      <c r="H577" s="7" t="n"/>
      <c r="I577" s="6">
        <f>IF(H577&lt;&gt;"",H577,IF(G577="agree",E577,""))</f>
        <v/>
      </c>
    </row>
    <row r="578">
      <c r="A578" s="6" t="inlineStr">
        <is>
          <t>L29</t>
        </is>
      </c>
      <c r="B578" s="6" t="inlineStr">
        <is>
          <t>vague</t>
        </is>
      </c>
      <c r="C578" s="6" t="inlineStr">
        <is>
          <t>Risk — Operational</t>
        </is>
      </c>
      <c r="D578" s="6" t="inlineStr"/>
      <c r="E578" s="6">
        <f>IFERROR(INDEX('Annotator A'!$S$5:$S$44,MATCH($A578,'Annotator A'!$A$5:$A$44,0))&amp;"","")</f>
        <v/>
      </c>
      <c r="F578" s="6">
        <f>IFERROR(INDEX('Annotator B'!$S$5:$S$44,MATCH($A578,'Annotator B'!$A$5:$A$44,0))&amp;"","")</f>
        <v/>
      </c>
      <c r="G578" s="6">
        <f>IF(AND(E578="",F578=""),"",IF(E578=F578,"agree","DIFFER"))</f>
        <v/>
      </c>
      <c r="H578" s="7" t="n"/>
      <c r="I578" s="6">
        <f>IF(H578&lt;&gt;"",H578,IF(G578="agree",E578,""))</f>
        <v/>
      </c>
    </row>
    <row r="579">
      <c r="A579" s="6" t="inlineStr">
        <is>
          <t>L29</t>
        </is>
      </c>
      <c r="B579" s="6" t="inlineStr">
        <is>
          <t>vague</t>
        </is>
      </c>
      <c r="C579" s="6" t="inlineStr">
        <is>
          <t>Risk — Adoption</t>
        </is>
      </c>
      <c r="D579" s="6" t="inlineStr"/>
      <c r="E579" s="6">
        <f>IFERROR(INDEX('Annotator A'!$T$5:$T$44,MATCH($A579,'Annotator A'!$A$5:$A$44,0))&amp;"","")</f>
        <v/>
      </c>
      <c r="F579" s="6">
        <f>IFERROR(INDEX('Annotator B'!$T$5:$T$44,MATCH($A579,'Annotator B'!$A$5:$A$44,0))&amp;"","")</f>
        <v/>
      </c>
      <c r="G579" s="6">
        <f>IF(AND(E579="",F579=""),"",IF(E579=F579,"agree","DIFFER"))</f>
        <v/>
      </c>
      <c r="H579" s="7" t="n"/>
      <c r="I579" s="6">
        <f>IF(H579&lt;&gt;"",H579,IF(G579="agree",E579,""))</f>
        <v/>
      </c>
    </row>
    <row r="580">
      <c r="A580" s="6" t="inlineStr">
        <is>
          <t>L29</t>
        </is>
      </c>
      <c r="B580" s="6" t="inlineStr">
        <is>
          <t>vague</t>
        </is>
      </c>
      <c r="C580" s="6" t="inlineStr">
        <is>
          <t>Risk — Data</t>
        </is>
      </c>
      <c r="D580" s="6" t="inlineStr"/>
      <c r="E580" s="6">
        <f>IFERROR(INDEX('Annotator A'!$U$5:$U$44,MATCH($A580,'Annotator A'!$A$5:$A$44,0))&amp;"","")</f>
        <v/>
      </c>
      <c r="F580" s="6">
        <f>IFERROR(INDEX('Annotator B'!$U$5:$U$44,MATCH($A580,'Annotator B'!$A$5:$A$44,0))&amp;"","")</f>
        <v/>
      </c>
      <c r="G580" s="6">
        <f>IF(AND(E580="",F580=""),"",IF(E580=F580,"agree","DIFFER"))</f>
        <v/>
      </c>
      <c r="H580" s="7" t="n"/>
      <c r="I580" s="6">
        <f>IF(H580&lt;&gt;"",H580,IF(G580="agree",E580,""))</f>
        <v/>
      </c>
    </row>
    <row r="581">
      <c r="A581" s="6" t="inlineStr">
        <is>
          <t>L29</t>
        </is>
      </c>
      <c r="B581" s="6" t="inlineStr">
        <is>
          <t>vague</t>
        </is>
      </c>
      <c r="C581" s="6" t="inlineStr">
        <is>
          <t>Risk — Vendor</t>
        </is>
      </c>
      <c r="D581" s="6" t="inlineStr"/>
      <c r="E581" s="6">
        <f>IFERROR(INDEX('Annotator A'!$V$5:$V$44,MATCH($A581,'Annotator A'!$A$5:$A$44,0))&amp;"","")</f>
        <v/>
      </c>
      <c r="F581" s="6">
        <f>IFERROR(INDEX('Annotator B'!$V$5:$V$44,MATCH($A581,'Annotator B'!$A$5:$A$44,0))&amp;"","")</f>
        <v/>
      </c>
      <c r="G581" s="6">
        <f>IF(AND(E581="",F581=""),"",IF(E581=F581,"agree","DIFFER"))</f>
        <v/>
      </c>
      <c r="H581" s="7" t="n"/>
      <c r="I581" s="6">
        <f>IF(H581&lt;&gt;"",H581,IF(G581="agree",E581,""))</f>
        <v/>
      </c>
    </row>
    <row r="582">
      <c r="A582" s="6" t="inlineStr">
        <is>
          <t>L30</t>
        </is>
      </c>
      <c r="B582" s="6" t="inlineStr">
        <is>
          <t>near-duplicate</t>
        </is>
      </c>
      <c r="C582" s="6" t="inlineStr">
        <is>
          <t>Use cases</t>
        </is>
      </c>
      <c r="D582" s="6" t="inlineStr">
        <is>
          <t>standard meeting-notes template with owner and due date per action item</t>
        </is>
      </c>
      <c r="E582" s="6">
        <f>IFERROR(INDEX('Annotator A'!$C$5:$C$44,MATCH($A582,'Annotator A'!$A$5:$A$44,0))&amp;"","")</f>
        <v/>
      </c>
      <c r="F582" s="6">
        <f>IFERROR(INDEX('Annotator B'!$C$5:$C$44,MATCH($A582,'Annotator B'!$A$5:$A$44,0))&amp;"","")</f>
        <v/>
      </c>
      <c r="G582" s="6" t="inlineStr">
        <is>
          <t>read both</t>
        </is>
      </c>
      <c r="H582" s="7" t="n"/>
      <c r="I582" s="6">
        <f>IF(H582&lt;&gt;"",H582,"")</f>
        <v/>
      </c>
    </row>
    <row r="583">
      <c r="A583" s="6" t="inlineStr">
        <is>
          <t>L30</t>
        </is>
      </c>
      <c r="B583" s="6" t="inlineStr">
        <is>
          <t>near-duplicate</t>
        </is>
      </c>
      <c r="C583" s="6" t="inlineStr">
        <is>
          <t>Value — Business impact</t>
        </is>
      </c>
      <c r="D583" s="6" t="inlineStr"/>
      <c r="E583" s="6">
        <f>IFERROR(INDEX('Annotator A'!$D$5:$D$44,MATCH($A583,'Annotator A'!$A$5:$A$44,0))&amp;"","")</f>
        <v/>
      </c>
      <c r="F583" s="6">
        <f>IFERROR(INDEX('Annotator B'!$D$5:$D$44,MATCH($A583,'Annotator B'!$A$5:$A$44,0))&amp;"","")</f>
        <v/>
      </c>
      <c r="G583" s="6">
        <f>IF(AND(E583="",F583=""),"",IF(E583=F583,"agree","DIFFER"))</f>
        <v/>
      </c>
      <c r="H583" s="7" t="n"/>
      <c r="I583" s="6">
        <f>IF(H583&lt;&gt;"",H583,IF(G583="agree",E583,""))</f>
        <v/>
      </c>
    </row>
    <row r="584">
      <c r="A584" s="6" t="inlineStr">
        <is>
          <t>L30</t>
        </is>
      </c>
      <c r="B584" s="6" t="inlineStr">
        <is>
          <t>near-duplicate</t>
        </is>
      </c>
      <c r="C584" s="6" t="inlineStr">
        <is>
          <t>Value — Productivity</t>
        </is>
      </c>
      <c r="D584" s="6" t="inlineStr">
        <is>
          <t>Low</t>
        </is>
      </c>
      <c r="E584" s="6">
        <f>IFERROR(INDEX('Annotator A'!$E$5:$E$44,MATCH($A584,'Annotator A'!$A$5:$A$44,0))&amp;"","")</f>
        <v/>
      </c>
      <c r="F584" s="6">
        <f>IFERROR(INDEX('Annotator B'!$E$5:$E$44,MATCH($A584,'Annotator B'!$A$5:$A$44,0))&amp;"","")</f>
        <v/>
      </c>
      <c r="G584" s="6">
        <f>IF(AND(E584="",F584=""),"",IF(E584=F584,"agree","DIFFER"))</f>
        <v/>
      </c>
      <c r="H584" s="7" t="n"/>
      <c r="I584" s="6">
        <f>IF(H584&lt;&gt;"",H584,IF(G584="agree",E584,""))</f>
        <v/>
      </c>
    </row>
    <row r="585">
      <c r="A585" s="6" t="inlineStr">
        <is>
          <t>L30</t>
        </is>
      </c>
      <c r="B585" s="6" t="inlineStr">
        <is>
          <t>near-duplicate</t>
        </is>
      </c>
      <c r="C585" s="6" t="inlineStr">
        <is>
          <t>Value — Cost reduction</t>
        </is>
      </c>
      <c r="D585" s="6" t="inlineStr"/>
      <c r="E585" s="6">
        <f>IFERROR(INDEX('Annotator A'!$F$5:$F$44,MATCH($A585,'Annotator A'!$A$5:$A$44,0))&amp;"","")</f>
        <v/>
      </c>
      <c r="F585" s="6">
        <f>IFERROR(INDEX('Annotator B'!$F$5:$F$44,MATCH($A585,'Annotator B'!$A$5:$A$44,0))&amp;"","")</f>
        <v/>
      </c>
      <c r="G585" s="6">
        <f>IF(AND(E585="",F585=""),"",IF(E585=F585,"agree","DIFFER"))</f>
        <v/>
      </c>
      <c r="H585" s="7" t="n"/>
      <c r="I585" s="6">
        <f>IF(H585&lt;&gt;"",H585,IF(G585="agree",E585,""))</f>
        <v/>
      </c>
    </row>
    <row r="586">
      <c r="A586" s="6" t="inlineStr">
        <is>
          <t>L30</t>
        </is>
      </c>
      <c r="B586" s="6" t="inlineStr">
        <is>
          <t>near-duplicate</t>
        </is>
      </c>
      <c r="C586" s="6" t="inlineStr">
        <is>
          <t>Value — Revenue</t>
        </is>
      </c>
      <c r="D586" s="6" t="inlineStr"/>
      <c r="E586" s="6">
        <f>IFERROR(INDEX('Annotator A'!$G$5:$G$44,MATCH($A586,'Annotator A'!$A$5:$A$44,0))&amp;"","")</f>
        <v/>
      </c>
      <c r="F586" s="6">
        <f>IFERROR(INDEX('Annotator B'!$G$5:$G$44,MATCH($A586,'Annotator B'!$A$5:$A$44,0))&amp;"","")</f>
        <v/>
      </c>
      <c r="G586" s="6">
        <f>IF(AND(E586="",F586=""),"",IF(E586=F586,"agree","DIFFER"))</f>
        <v/>
      </c>
      <c r="H586" s="7" t="n"/>
      <c r="I586" s="6">
        <f>IF(H586&lt;&gt;"",H586,IF(G586="agree",E586,""))</f>
        <v/>
      </c>
    </row>
    <row r="587">
      <c r="A587" s="6" t="inlineStr">
        <is>
          <t>L30</t>
        </is>
      </c>
      <c r="B587" s="6" t="inlineStr">
        <is>
          <t>near-duplicate</t>
        </is>
      </c>
      <c r="C587" s="6" t="inlineStr">
        <is>
          <t>Value — Employee experience</t>
        </is>
      </c>
      <c r="D587" s="6" t="inlineStr"/>
      <c r="E587" s="6">
        <f>IFERROR(INDEX('Annotator A'!$H$5:$H$44,MATCH($A587,'Annotator A'!$A$5:$A$44,0))&amp;"","")</f>
        <v/>
      </c>
      <c r="F587" s="6">
        <f>IFERROR(INDEX('Annotator B'!$H$5:$H$44,MATCH($A587,'Annotator B'!$A$5:$A$44,0))&amp;"","")</f>
        <v/>
      </c>
      <c r="G587" s="6">
        <f>IF(AND(E587="",F587=""),"",IF(E587=F587,"agree","DIFFER"))</f>
        <v/>
      </c>
      <c r="H587" s="7" t="n"/>
      <c r="I587" s="6">
        <f>IF(H587&lt;&gt;"",H587,IF(G587="agree",E587,""))</f>
        <v/>
      </c>
    </row>
    <row r="588">
      <c r="A588" s="6" t="inlineStr">
        <is>
          <t>L30</t>
        </is>
      </c>
      <c r="B588" s="6" t="inlineStr">
        <is>
          <t>near-duplicate</t>
        </is>
      </c>
      <c r="C588" s="6" t="inlineStr">
        <is>
          <t>Value — Customer impact</t>
        </is>
      </c>
      <c r="D588" s="6" t="inlineStr"/>
      <c r="E588" s="6">
        <f>IFERROR(INDEX('Annotator A'!$I$5:$I$44,MATCH($A588,'Annotator A'!$A$5:$A$44,0))&amp;"","")</f>
        <v/>
      </c>
      <c r="F588" s="6">
        <f>IFERROR(INDEX('Annotator B'!$I$5:$I$44,MATCH($A588,'Annotator B'!$A$5:$A$44,0))&amp;"","")</f>
        <v/>
      </c>
      <c r="G588" s="6">
        <f>IF(AND(E588="",F588=""),"",IF(E588=F588,"agree","DIFFER"))</f>
        <v/>
      </c>
      <c r="H588" s="7" t="n"/>
      <c r="I588" s="6">
        <f>IF(H588&lt;&gt;"",H588,IF(G588="agree",E588,""))</f>
        <v/>
      </c>
    </row>
    <row r="589">
      <c r="A589" s="6" t="inlineStr">
        <is>
          <t>L30</t>
        </is>
      </c>
      <c r="B589" s="6" t="inlineStr">
        <is>
          <t>near-duplicate</t>
        </is>
      </c>
      <c r="C589" s="6" t="inlineStr">
        <is>
          <t>Value — Operational</t>
        </is>
      </c>
      <c r="D589" s="6" t="inlineStr"/>
      <c r="E589" s="6">
        <f>IFERROR(INDEX('Annotator A'!$J$5:$J$44,MATCH($A589,'Annotator A'!$A$5:$A$44,0))&amp;"","")</f>
        <v/>
      </c>
      <c r="F589" s="6">
        <f>IFERROR(INDEX('Annotator B'!$J$5:$J$44,MATCH($A589,'Annotator B'!$A$5:$A$44,0))&amp;"","")</f>
        <v/>
      </c>
      <c r="G589" s="6">
        <f>IF(AND(E589="",F589=""),"",IF(E589=F589,"agree","DIFFER"))</f>
        <v/>
      </c>
      <c r="H589" s="7" t="n"/>
      <c r="I589" s="6">
        <f>IF(H589&lt;&gt;"",H589,IF(G589="agree",E589,""))</f>
        <v/>
      </c>
    </row>
    <row r="590">
      <c r="A590" s="6" t="inlineStr">
        <is>
          <t>L30</t>
        </is>
      </c>
      <c r="B590" s="6" t="inlineStr">
        <is>
          <t>near-duplicate</t>
        </is>
      </c>
      <c r="C590" s="6" t="inlineStr">
        <is>
          <t>Value — Problem severity</t>
        </is>
      </c>
      <c r="D590" s="6" t="inlineStr"/>
      <c r="E590" s="6">
        <f>IFERROR(INDEX('Annotator A'!$K$5:$K$44,MATCH($A590,'Annotator A'!$A$5:$A$44,0))&amp;"","")</f>
        <v/>
      </c>
      <c r="F590" s="6">
        <f>IFERROR(INDEX('Annotator B'!$K$5:$K$44,MATCH($A590,'Annotator B'!$A$5:$A$44,0))&amp;"","")</f>
        <v/>
      </c>
      <c r="G590" s="6">
        <f>IF(AND(E590="",F590=""),"",IF(E590=F590,"agree","DIFFER"))</f>
        <v/>
      </c>
      <c r="H590" s="7" t="n"/>
      <c r="I590" s="6">
        <f>IF(H590&lt;&gt;"",H590,IF(G590="agree",E590,""))</f>
        <v/>
      </c>
    </row>
    <row r="591">
      <c r="A591" s="6" t="inlineStr">
        <is>
          <t>L30</t>
        </is>
      </c>
      <c r="B591" s="6" t="inlineStr">
        <is>
          <t>near-duplicate</t>
        </is>
      </c>
      <c r="C591" s="6" t="inlineStr">
        <is>
          <t>Value — Problem frequency</t>
        </is>
      </c>
      <c r="D591" s="6" t="inlineStr">
        <is>
          <t>Moderate</t>
        </is>
      </c>
      <c r="E591" s="6">
        <f>IFERROR(INDEX('Annotator A'!$L$5:$L$44,MATCH($A591,'Annotator A'!$A$5:$A$44,0))&amp;"","")</f>
        <v/>
      </c>
      <c r="F591" s="6">
        <f>IFERROR(INDEX('Annotator B'!$L$5:$L$44,MATCH($A591,'Annotator B'!$A$5:$A$44,0))&amp;"","")</f>
        <v/>
      </c>
      <c r="G591" s="6">
        <f>IF(AND(E591="",F591=""),"",IF(E591=F591,"agree","DIFFER"))</f>
        <v/>
      </c>
      <c r="H591" s="7" t="n"/>
      <c r="I591" s="6">
        <f>IF(H591&lt;&gt;"",H591,IF(G591="agree",E591,""))</f>
        <v/>
      </c>
    </row>
    <row r="592">
      <c r="A592" s="6" t="inlineStr">
        <is>
          <t>L30</t>
        </is>
      </c>
      <c r="B592" s="6" t="inlineStr">
        <is>
          <t>near-duplicate</t>
        </is>
      </c>
      <c r="C592" s="6" t="inlineStr">
        <is>
          <t>Feasibility status</t>
        </is>
      </c>
      <c r="D592" s="6" t="inlineStr">
        <is>
          <t>HIGHLY_FEASIBLE</t>
        </is>
      </c>
      <c r="E592" s="6">
        <f>IFERROR(INDEX('Annotator A'!$M$5:$M$44,MATCH($A592,'Annotator A'!$A$5:$A$44,0))&amp;"","")</f>
        <v/>
      </c>
      <c r="F592" s="6">
        <f>IFERROR(INDEX('Annotator B'!$M$5:$M$44,MATCH($A592,'Annotator B'!$A$5:$A$44,0))&amp;"","")</f>
        <v/>
      </c>
      <c r="G592" s="6">
        <f>IF(AND(E592="",F592=""),"",IF(E592=F592,"agree","DIFFER"))</f>
        <v/>
      </c>
      <c r="H592" s="7" t="n"/>
      <c r="I592" s="6">
        <f>IF(H592&lt;&gt;"",H592,IF(G592="agree",E592,""))</f>
        <v/>
      </c>
    </row>
    <row r="593">
      <c r="A593" s="6" t="inlineStr">
        <is>
          <t>L30</t>
        </is>
      </c>
      <c r="B593" s="6" t="inlineStr">
        <is>
          <t>near-duplicate</t>
        </is>
      </c>
      <c r="C593" s="6" t="inlineStr">
        <is>
          <t>Risk — Technical</t>
        </is>
      </c>
      <c r="D593" s="6" t="inlineStr"/>
      <c r="E593" s="6">
        <f>IFERROR(INDEX('Annotator A'!$N$5:$N$44,MATCH($A593,'Annotator A'!$A$5:$A$44,0))&amp;"","")</f>
        <v/>
      </c>
      <c r="F593" s="6">
        <f>IFERROR(INDEX('Annotator B'!$N$5:$N$44,MATCH($A593,'Annotator B'!$A$5:$A$44,0))&amp;"","")</f>
        <v/>
      </c>
      <c r="G593" s="6">
        <f>IF(AND(E593="",F593=""),"",IF(E593=F593,"agree","DIFFER"))</f>
        <v/>
      </c>
      <c r="H593" s="7" t="n"/>
      <c r="I593" s="6">
        <f>IF(H593&lt;&gt;"",H593,IF(G593="agree",E593,""))</f>
        <v/>
      </c>
    </row>
    <row r="594">
      <c r="A594" s="6" t="inlineStr">
        <is>
          <t>L30</t>
        </is>
      </c>
      <c r="B594" s="6" t="inlineStr">
        <is>
          <t>near-duplicate</t>
        </is>
      </c>
      <c r="C594" s="6" t="inlineStr">
        <is>
          <t>Risk — Security</t>
        </is>
      </c>
      <c r="D594" s="6" t="inlineStr"/>
      <c r="E594" s="6">
        <f>IFERROR(INDEX('Annotator A'!$O$5:$O$44,MATCH($A594,'Annotator A'!$A$5:$A$44,0))&amp;"","")</f>
        <v/>
      </c>
      <c r="F594" s="6">
        <f>IFERROR(INDEX('Annotator B'!$O$5:$O$44,MATCH($A594,'Annotator B'!$A$5:$A$44,0))&amp;"","")</f>
        <v/>
      </c>
      <c r="G594" s="6">
        <f>IF(AND(E594="",F594=""),"",IF(E594=F594,"agree","DIFFER"))</f>
        <v/>
      </c>
      <c r="H594" s="7" t="n"/>
      <c r="I594" s="6">
        <f>IF(H594&lt;&gt;"",H594,IF(G594="agree",E594,""))</f>
        <v/>
      </c>
    </row>
    <row r="595">
      <c r="A595" s="6" t="inlineStr">
        <is>
          <t>L30</t>
        </is>
      </c>
      <c r="B595" s="6" t="inlineStr">
        <is>
          <t>near-duplicate</t>
        </is>
      </c>
      <c r="C595" s="6" t="inlineStr">
        <is>
          <t>Risk — Privacy</t>
        </is>
      </c>
      <c r="D595" s="6" t="inlineStr"/>
      <c r="E595" s="6">
        <f>IFERROR(INDEX('Annotator A'!$P$5:$P$44,MATCH($A595,'Annotator A'!$A$5:$A$44,0))&amp;"","")</f>
        <v/>
      </c>
      <c r="F595" s="6">
        <f>IFERROR(INDEX('Annotator B'!$P$5:$P$44,MATCH($A595,'Annotator B'!$A$5:$A$44,0))&amp;"","")</f>
        <v/>
      </c>
      <c r="G595" s="6">
        <f>IF(AND(E595="",F595=""),"",IF(E595=F595,"agree","DIFFER"))</f>
        <v/>
      </c>
      <c r="H595" s="7" t="n"/>
      <c r="I595" s="6">
        <f>IF(H595&lt;&gt;"",H595,IF(G595="agree",E595,""))</f>
        <v/>
      </c>
    </row>
    <row r="596">
      <c r="A596" s="6" t="inlineStr">
        <is>
          <t>L30</t>
        </is>
      </c>
      <c r="B596" s="6" t="inlineStr">
        <is>
          <t>near-duplicate</t>
        </is>
      </c>
      <c r="C596" s="6" t="inlineStr">
        <is>
          <t>Risk — Compliance</t>
        </is>
      </c>
      <c r="D596" s="6" t="inlineStr"/>
      <c r="E596" s="6">
        <f>IFERROR(INDEX('Annotator A'!$Q$5:$Q$44,MATCH($A596,'Annotator A'!$A$5:$A$44,0))&amp;"","")</f>
        <v/>
      </c>
      <c r="F596" s="6">
        <f>IFERROR(INDEX('Annotator B'!$Q$5:$Q$44,MATCH($A596,'Annotator B'!$A$5:$A$44,0))&amp;"","")</f>
        <v/>
      </c>
      <c r="G596" s="6">
        <f>IF(AND(E596="",F596=""),"",IF(E596=F596,"agree","DIFFER"))</f>
        <v/>
      </c>
      <c r="H596" s="7" t="n"/>
      <c r="I596" s="6">
        <f>IF(H596&lt;&gt;"",H596,IF(G596="agree",E596,""))</f>
        <v/>
      </c>
    </row>
    <row r="597">
      <c r="A597" s="6" t="inlineStr">
        <is>
          <t>L30</t>
        </is>
      </c>
      <c r="B597" s="6" t="inlineStr">
        <is>
          <t>near-duplicate</t>
        </is>
      </c>
      <c r="C597" s="6" t="inlineStr">
        <is>
          <t>Risk — Financial</t>
        </is>
      </c>
      <c r="D597" s="6" t="inlineStr"/>
      <c r="E597" s="6">
        <f>IFERROR(INDEX('Annotator A'!$R$5:$R$44,MATCH($A597,'Annotator A'!$A$5:$A$44,0))&amp;"","")</f>
        <v/>
      </c>
      <c r="F597" s="6">
        <f>IFERROR(INDEX('Annotator B'!$R$5:$R$44,MATCH($A597,'Annotator B'!$A$5:$A$44,0))&amp;"","")</f>
        <v/>
      </c>
      <c r="G597" s="6">
        <f>IF(AND(E597="",F597=""),"",IF(E597=F597,"agree","DIFFER"))</f>
        <v/>
      </c>
      <c r="H597" s="7" t="n"/>
      <c r="I597" s="6">
        <f>IF(H597&lt;&gt;"",H597,IF(G597="agree",E597,""))</f>
        <v/>
      </c>
    </row>
    <row r="598">
      <c r="A598" s="6" t="inlineStr">
        <is>
          <t>L30</t>
        </is>
      </c>
      <c r="B598" s="6" t="inlineStr">
        <is>
          <t>near-duplicate</t>
        </is>
      </c>
      <c r="C598" s="6" t="inlineStr">
        <is>
          <t>Risk — Operational</t>
        </is>
      </c>
      <c r="D598" s="6" t="inlineStr"/>
      <c r="E598" s="6">
        <f>IFERROR(INDEX('Annotator A'!$S$5:$S$44,MATCH($A598,'Annotator A'!$A$5:$A$44,0))&amp;"","")</f>
        <v/>
      </c>
      <c r="F598" s="6">
        <f>IFERROR(INDEX('Annotator B'!$S$5:$S$44,MATCH($A598,'Annotator B'!$A$5:$A$44,0))&amp;"","")</f>
        <v/>
      </c>
      <c r="G598" s="6">
        <f>IF(AND(E598="",F598=""),"",IF(E598=F598,"agree","DIFFER"))</f>
        <v/>
      </c>
      <c r="H598" s="7" t="n"/>
      <c r="I598" s="6">
        <f>IF(H598&lt;&gt;"",H598,IF(G598="agree",E598,""))</f>
        <v/>
      </c>
    </row>
    <row r="599">
      <c r="A599" s="6" t="inlineStr">
        <is>
          <t>L30</t>
        </is>
      </c>
      <c r="B599" s="6" t="inlineStr">
        <is>
          <t>near-duplicate</t>
        </is>
      </c>
      <c r="C599" s="6" t="inlineStr">
        <is>
          <t>Risk — Adoption</t>
        </is>
      </c>
      <c r="D599" s="6" t="inlineStr"/>
      <c r="E599" s="6">
        <f>IFERROR(INDEX('Annotator A'!$T$5:$T$44,MATCH($A599,'Annotator A'!$A$5:$A$44,0))&amp;"","")</f>
        <v/>
      </c>
      <c r="F599" s="6">
        <f>IFERROR(INDEX('Annotator B'!$T$5:$T$44,MATCH($A599,'Annotator B'!$A$5:$A$44,0))&amp;"","")</f>
        <v/>
      </c>
      <c r="G599" s="6">
        <f>IF(AND(E599="",F599=""),"",IF(E599=F599,"agree","DIFFER"))</f>
        <v/>
      </c>
      <c r="H599" s="7" t="n"/>
      <c r="I599" s="6">
        <f>IF(H599&lt;&gt;"",H599,IF(G599="agree",E599,""))</f>
        <v/>
      </c>
    </row>
    <row r="600">
      <c r="A600" s="6" t="inlineStr">
        <is>
          <t>L30</t>
        </is>
      </c>
      <c r="B600" s="6" t="inlineStr">
        <is>
          <t>near-duplicate</t>
        </is>
      </c>
      <c r="C600" s="6" t="inlineStr">
        <is>
          <t>Risk — Data</t>
        </is>
      </c>
      <c r="D600" s="6" t="inlineStr"/>
      <c r="E600" s="6">
        <f>IFERROR(INDEX('Annotator A'!$U$5:$U$44,MATCH($A600,'Annotator A'!$A$5:$A$44,0))&amp;"","")</f>
        <v/>
      </c>
      <c r="F600" s="6">
        <f>IFERROR(INDEX('Annotator B'!$U$5:$U$44,MATCH($A600,'Annotator B'!$A$5:$A$44,0))&amp;"","")</f>
        <v/>
      </c>
      <c r="G600" s="6">
        <f>IF(AND(E600="",F600=""),"",IF(E600=F600,"agree","DIFFER"))</f>
        <v/>
      </c>
      <c r="H600" s="7" t="n"/>
      <c r="I600" s="6">
        <f>IF(H600&lt;&gt;"",H600,IF(G600="agree",E600,""))</f>
        <v/>
      </c>
    </row>
    <row r="601">
      <c r="A601" s="6" t="inlineStr">
        <is>
          <t>L30</t>
        </is>
      </c>
      <c r="B601" s="6" t="inlineStr">
        <is>
          <t>near-duplicate</t>
        </is>
      </c>
      <c r="C601" s="6" t="inlineStr">
        <is>
          <t>Risk — Vendor</t>
        </is>
      </c>
      <c r="D601" s="6" t="inlineStr"/>
      <c r="E601" s="6">
        <f>IFERROR(INDEX('Annotator A'!$V$5:$V$44,MATCH($A601,'Annotator A'!$A$5:$A$44,0))&amp;"","")</f>
        <v/>
      </c>
      <c r="F601" s="6">
        <f>IFERROR(INDEX('Annotator B'!$V$5:$V$44,MATCH($A601,'Annotator B'!$A$5:$A$44,0))&amp;"","")</f>
        <v/>
      </c>
      <c r="G601" s="6">
        <f>IF(AND(E601="",F601=""),"",IF(E601=F601,"agree","DIFFER"))</f>
        <v/>
      </c>
      <c r="H601" s="7" t="n"/>
      <c r="I601" s="6">
        <f>IF(H601&lt;&gt;"",H601,IF(G601="agree",E601,""))</f>
        <v/>
      </c>
    </row>
    <row r="602">
      <c r="A602" s="6" t="inlineStr">
        <is>
          <t>L31</t>
        </is>
      </c>
      <c r="B602" s="6" t="inlineStr">
        <is>
          <t>infeasible</t>
        </is>
      </c>
      <c r="C602" s="6" t="inlineStr">
        <is>
          <t>Use cases</t>
        </is>
      </c>
      <c r="D602" s="6" t="inlineStr"/>
      <c r="E602" s="6">
        <f>IFERROR(INDEX('Annotator A'!$C$5:$C$44,MATCH($A602,'Annotator A'!$A$5:$A$44,0))&amp;"","")</f>
        <v/>
      </c>
      <c r="F602" s="6">
        <f>IFERROR(INDEX('Annotator B'!$C$5:$C$44,MATCH($A602,'Annotator B'!$A$5:$A$44,0))&amp;"","")</f>
        <v/>
      </c>
      <c r="G602" s="6" t="inlineStr">
        <is>
          <t>read both</t>
        </is>
      </c>
      <c r="H602" s="7" t="n"/>
      <c r="I602" s="6">
        <f>IF(H602&lt;&gt;"",H602,"")</f>
        <v/>
      </c>
    </row>
    <row r="603">
      <c r="A603" s="6" t="inlineStr">
        <is>
          <t>L31</t>
        </is>
      </c>
      <c r="B603" s="6" t="inlineStr">
        <is>
          <t>infeasible</t>
        </is>
      </c>
      <c r="C603" s="6" t="inlineStr">
        <is>
          <t>Value — Business impact</t>
        </is>
      </c>
      <c r="D603" s="6" t="inlineStr"/>
      <c r="E603" s="6">
        <f>IFERROR(INDEX('Annotator A'!$D$5:$D$44,MATCH($A603,'Annotator A'!$A$5:$A$44,0))&amp;"","")</f>
        <v/>
      </c>
      <c r="F603" s="6">
        <f>IFERROR(INDEX('Annotator B'!$D$5:$D$44,MATCH($A603,'Annotator B'!$A$5:$A$44,0))&amp;"","")</f>
        <v/>
      </c>
      <c r="G603" s="6">
        <f>IF(AND(E603="",F603=""),"",IF(E603=F603,"agree","DIFFER"))</f>
        <v/>
      </c>
      <c r="H603" s="7" t="n"/>
      <c r="I603" s="6">
        <f>IF(H603&lt;&gt;"",H603,IF(G603="agree",E603,""))</f>
        <v/>
      </c>
    </row>
    <row r="604">
      <c r="A604" s="6" t="inlineStr">
        <is>
          <t>L31</t>
        </is>
      </c>
      <c r="B604" s="6" t="inlineStr">
        <is>
          <t>infeasible</t>
        </is>
      </c>
      <c r="C604" s="6" t="inlineStr">
        <is>
          <t>Value — Productivity</t>
        </is>
      </c>
      <c r="D604" s="6" t="inlineStr"/>
      <c r="E604" s="6">
        <f>IFERROR(INDEX('Annotator A'!$E$5:$E$44,MATCH($A604,'Annotator A'!$A$5:$A$44,0))&amp;"","")</f>
        <v/>
      </c>
      <c r="F604" s="6">
        <f>IFERROR(INDEX('Annotator B'!$E$5:$E$44,MATCH($A604,'Annotator B'!$A$5:$A$44,0))&amp;"","")</f>
        <v/>
      </c>
      <c r="G604" s="6">
        <f>IF(AND(E604="",F604=""),"",IF(E604=F604,"agree","DIFFER"))</f>
        <v/>
      </c>
      <c r="H604" s="7" t="n"/>
      <c r="I604" s="6">
        <f>IF(H604&lt;&gt;"",H604,IF(G604="agree",E604,""))</f>
        <v/>
      </c>
    </row>
    <row r="605">
      <c r="A605" s="6" t="inlineStr">
        <is>
          <t>L31</t>
        </is>
      </c>
      <c r="B605" s="6" t="inlineStr">
        <is>
          <t>infeasible</t>
        </is>
      </c>
      <c r="C605" s="6" t="inlineStr">
        <is>
          <t>Value — Cost reduction</t>
        </is>
      </c>
      <c r="D605" s="6" t="inlineStr"/>
      <c r="E605" s="6">
        <f>IFERROR(INDEX('Annotator A'!$F$5:$F$44,MATCH($A605,'Annotator A'!$A$5:$A$44,0))&amp;"","")</f>
        <v/>
      </c>
      <c r="F605" s="6">
        <f>IFERROR(INDEX('Annotator B'!$F$5:$F$44,MATCH($A605,'Annotator B'!$A$5:$A$44,0))&amp;"","")</f>
        <v/>
      </c>
      <c r="G605" s="6">
        <f>IF(AND(E605="",F605=""),"",IF(E605=F605,"agree","DIFFER"))</f>
        <v/>
      </c>
      <c r="H605" s="7" t="n"/>
      <c r="I605" s="6">
        <f>IF(H605&lt;&gt;"",H605,IF(G605="agree",E605,""))</f>
        <v/>
      </c>
    </row>
    <row r="606">
      <c r="A606" s="6" t="inlineStr">
        <is>
          <t>L31</t>
        </is>
      </c>
      <c r="B606" s="6" t="inlineStr">
        <is>
          <t>infeasible</t>
        </is>
      </c>
      <c r="C606" s="6" t="inlineStr">
        <is>
          <t>Value — Revenue</t>
        </is>
      </c>
      <c r="D606" s="6" t="inlineStr"/>
      <c r="E606" s="6">
        <f>IFERROR(INDEX('Annotator A'!$G$5:$G$44,MATCH($A606,'Annotator A'!$A$5:$A$44,0))&amp;"","")</f>
        <v/>
      </c>
      <c r="F606" s="6">
        <f>IFERROR(INDEX('Annotator B'!$G$5:$G$44,MATCH($A606,'Annotator B'!$A$5:$A$44,0))&amp;"","")</f>
        <v/>
      </c>
      <c r="G606" s="6">
        <f>IF(AND(E606="",F606=""),"",IF(E606=F606,"agree","DIFFER"))</f>
        <v/>
      </c>
      <c r="H606" s="7" t="n"/>
      <c r="I606" s="6">
        <f>IF(H606&lt;&gt;"",H606,IF(G606="agree",E606,""))</f>
        <v/>
      </c>
    </row>
    <row r="607">
      <c r="A607" s="6" t="inlineStr">
        <is>
          <t>L31</t>
        </is>
      </c>
      <c r="B607" s="6" t="inlineStr">
        <is>
          <t>infeasible</t>
        </is>
      </c>
      <c r="C607" s="6" t="inlineStr">
        <is>
          <t>Value — Employee experience</t>
        </is>
      </c>
      <c r="D607" s="6" t="inlineStr"/>
      <c r="E607" s="6">
        <f>IFERROR(INDEX('Annotator A'!$H$5:$H$44,MATCH($A607,'Annotator A'!$A$5:$A$44,0))&amp;"","")</f>
        <v/>
      </c>
      <c r="F607" s="6">
        <f>IFERROR(INDEX('Annotator B'!$H$5:$H$44,MATCH($A607,'Annotator B'!$A$5:$A$44,0))&amp;"","")</f>
        <v/>
      </c>
      <c r="G607" s="6">
        <f>IF(AND(E607="",F607=""),"",IF(E607=F607,"agree","DIFFER"))</f>
        <v/>
      </c>
      <c r="H607" s="7" t="n"/>
      <c r="I607" s="6">
        <f>IF(H607&lt;&gt;"",H607,IF(G607="agree",E607,""))</f>
        <v/>
      </c>
    </row>
    <row r="608">
      <c r="A608" s="6" t="inlineStr">
        <is>
          <t>L31</t>
        </is>
      </c>
      <c r="B608" s="6" t="inlineStr">
        <is>
          <t>infeasible</t>
        </is>
      </c>
      <c r="C608" s="6" t="inlineStr">
        <is>
          <t>Value — Customer impact</t>
        </is>
      </c>
      <c r="D608" s="6" t="inlineStr"/>
      <c r="E608" s="6">
        <f>IFERROR(INDEX('Annotator A'!$I$5:$I$44,MATCH($A608,'Annotator A'!$A$5:$A$44,0))&amp;"","")</f>
        <v/>
      </c>
      <c r="F608" s="6">
        <f>IFERROR(INDEX('Annotator B'!$I$5:$I$44,MATCH($A608,'Annotator B'!$A$5:$A$44,0))&amp;"","")</f>
        <v/>
      </c>
      <c r="G608" s="6">
        <f>IF(AND(E608="",F608=""),"",IF(E608=F608,"agree","DIFFER"))</f>
        <v/>
      </c>
      <c r="H608" s="7" t="n"/>
      <c r="I608" s="6">
        <f>IF(H608&lt;&gt;"",H608,IF(G608="agree",E608,""))</f>
        <v/>
      </c>
    </row>
    <row r="609">
      <c r="A609" s="6" t="inlineStr">
        <is>
          <t>L31</t>
        </is>
      </c>
      <c r="B609" s="6" t="inlineStr">
        <is>
          <t>infeasible</t>
        </is>
      </c>
      <c r="C609" s="6" t="inlineStr">
        <is>
          <t>Value — Operational</t>
        </is>
      </c>
      <c r="D609" s="6" t="inlineStr"/>
      <c r="E609" s="6">
        <f>IFERROR(INDEX('Annotator A'!$J$5:$J$44,MATCH($A609,'Annotator A'!$A$5:$A$44,0))&amp;"","")</f>
        <v/>
      </c>
      <c r="F609" s="6">
        <f>IFERROR(INDEX('Annotator B'!$J$5:$J$44,MATCH($A609,'Annotator B'!$A$5:$A$44,0))&amp;"","")</f>
        <v/>
      </c>
      <c r="G609" s="6">
        <f>IF(AND(E609="",F609=""),"",IF(E609=F609,"agree","DIFFER"))</f>
        <v/>
      </c>
      <c r="H609" s="7" t="n"/>
      <c r="I609" s="6">
        <f>IF(H609&lt;&gt;"",H609,IF(G609="agree",E609,""))</f>
        <v/>
      </c>
    </row>
    <row r="610">
      <c r="A610" s="6" t="inlineStr">
        <is>
          <t>L31</t>
        </is>
      </c>
      <c r="B610" s="6" t="inlineStr">
        <is>
          <t>infeasible</t>
        </is>
      </c>
      <c r="C610" s="6" t="inlineStr">
        <is>
          <t>Value — Problem severity</t>
        </is>
      </c>
      <c r="D610" s="6" t="inlineStr"/>
      <c r="E610" s="6">
        <f>IFERROR(INDEX('Annotator A'!$K$5:$K$44,MATCH($A610,'Annotator A'!$A$5:$A$44,0))&amp;"","")</f>
        <v/>
      </c>
      <c r="F610" s="6">
        <f>IFERROR(INDEX('Annotator B'!$K$5:$K$44,MATCH($A610,'Annotator B'!$A$5:$A$44,0))&amp;"","")</f>
        <v/>
      </c>
      <c r="G610" s="6">
        <f>IF(AND(E610="",F610=""),"",IF(E610=F610,"agree","DIFFER"))</f>
        <v/>
      </c>
      <c r="H610" s="7" t="n"/>
      <c r="I610" s="6">
        <f>IF(H610&lt;&gt;"",H610,IF(G610="agree",E610,""))</f>
        <v/>
      </c>
    </row>
    <row r="611">
      <c r="A611" s="6" t="inlineStr">
        <is>
          <t>L31</t>
        </is>
      </c>
      <c r="B611" s="6" t="inlineStr">
        <is>
          <t>infeasible</t>
        </is>
      </c>
      <c r="C611" s="6" t="inlineStr">
        <is>
          <t>Value — Problem frequency</t>
        </is>
      </c>
      <c r="D611" s="6" t="inlineStr"/>
      <c r="E611" s="6">
        <f>IFERROR(INDEX('Annotator A'!$L$5:$L$44,MATCH($A611,'Annotator A'!$A$5:$A$44,0))&amp;"","")</f>
        <v/>
      </c>
      <c r="F611" s="6">
        <f>IFERROR(INDEX('Annotator B'!$L$5:$L$44,MATCH($A611,'Annotator B'!$A$5:$A$44,0))&amp;"","")</f>
        <v/>
      </c>
      <c r="G611" s="6">
        <f>IF(AND(E611="",F611=""),"",IF(E611=F611,"agree","DIFFER"))</f>
        <v/>
      </c>
      <c r="H611" s="7" t="n"/>
      <c r="I611" s="6">
        <f>IF(H611&lt;&gt;"",H611,IF(G611="agree",E611,""))</f>
        <v/>
      </c>
    </row>
    <row r="612">
      <c r="A612" s="6" t="inlineStr">
        <is>
          <t>L31</t>
        </is>
      </c>
      <c r="B612" s="6" t="inlineStr">
        <is>
          <t>infeasible</t>
        </is>
      </c>
      <c r="C612" s="6" t="inlineStr">
        <is>
          <t>Feasibility status</t>
        </is>
      </c>
      <c r="D612" s="6" t="inlineStr">
        <is>
          <t>NOT_CURRENTLY_FEASIBLE</t>
        </is>
      </c>
      <c r="E612" s="6">
        <f>IFERROR(INDEX('Annotator A'!$M$5:$M$44,MATCH($A612,'Annotator A'!$A$5:$A$44,0))&amp;"","")</f>
        <v/>
      </c>
      <c r="F612" s="6">
        <f>IFERROR(INDEX('Annotator B'!$M$5:$M$44,MATCH($A612,'Annotator B'!$A$5:$A$44,0))&amp;"","")</f>
        <v/>
      </c>
      <c r="G612" s="6">
        <f>IF(AND(E612="",F612=""),"",IF(E612=F612,"agree","DIFFER"))</f>
        <v/>
      </c>
      <c r="H612" s="7" t="n"/>
      <c r="I612" s="6">
        <f>IF(H612&lt;&gt;"",H612,IF(G612="agree",E612,""))</f>
        <v/>
      </c>
    </row>
    <row r="613">
      <c r="A613" s="6" t="inlineStr">
        <is>
          <t>L31</t>
        </is>
      </c>
      <c r="B613" s="6" t="inlineStr">
        <is>
          <t>infeasible</t>
        </is>
      </c>
      <c r="C613" s="6" t="inlineStr">
        <is>
          <t>Risk — Technical</t>
        </is>
      </c>
      <c r="D613" s="6" t="inlineStr"/>
      <c r="E613" s="6">
        <f>IFERROR(INDEX('Annotator A'!$N$5:$N$44,MATCH($A613,'Annotator A'!$A$5:$A$44,0))&amp;"","")</f>
        <v/>
      </c>
      <c r="F613" s="6">
        <f>IFERROR(INDEX('Annotator B'!$N$5:$N$44,MATCH($A613,'Annotator B'!$A$5:$A$44,0))&amp;"","")</f>
        <v/>
      </c>
      <c r="G613" s="6">
        <f>IF(AND(E613="",F613=""),"",IF(E613=F613,"agree","DIFFER"))</f>
        <v/>
      </c>
      <c r="H613" s="7" t="n"/>
      <c r="I613" s="6">
        <f>IF(H613&lt;&gt;"",H613,IF(G613="agree",E613,""))</f>
        <v/>
      </c>
    </row>
    <row r="614">
      <c r="A614" s="6" t="inlineStr">
        <is>
          <t>L31</t>
        </is>
      </c>
      <c r="B614" s="6" t="inlineStr">
        <is>
          <t>infeasible</t>
        </is>
      </c>
      <c r="C614" s="6" t="inlineStr">
        <is>
          <t>Risk — Security</t>
        </is>
      </c>
      <c r="D614" s="6" t="inlineStr">
        <is>
          <t>Yes</t>
        </is>
      </c>
      <c r="E614" s="6">
        <f>IFERROR(INDEX('Annotator A'!$O$5:$O$44,MATCH($A614,'Annotator A'!$A$5:$A$44,0))&amp;"","")</f>
        <v/>
      </c>
      <c r="F614" s="6">
        <f>IFERROR(INDEX('Annotator B'!$O$5:$O$44,MATCH($A614,'Annotator B'!$A$5:$A$44,0))&amp;"","")</f>
        <v/>
      </c>
      <c r="G614" s="6">
        <f>IF(AND(E614="",F614=""),"",IF(E614=F614,"agree","DIFFER"))</f>
        <v/>
      </c>
      <c r="H614" s="7" t="n"/>
      <c r="I614" s="6">
        <f>IF(H614&lt;&gt;"",H614,IF(G614="agree",E614,""))</f>
        <v/>
      </c>
    </row>
    <row r="615">
      <c r="A615" s="6" t="inlineStr">
        <is>
          <t>L31</t>
        </is>
      </c>
      <c r="B615" s="6" t="inlineStr">
        <is>
          <t>infeasible</t>
        </is>
      </c>
      <c r="C615" s="6" t="inlineStr">
        <is>
          <t>Risk — Privacy</t>
        </is>
      </c>
      <c r="D615" s="6" t="inlineStr"/>
      <c r="E615" s="6">
        <f>IFERROR(INDEX('Annotator A'!$P$5:$P$44,MATCH($A615,'Annotator A'!$A$5:$A$44,0))&amp;"","")</f>
        <v/>
      </c>
      <c r="F615" s="6">
        <f>IFERROR(INDEX('Annotator B'!$P$5:$P$44,MATCH($A615,'Annotator B'!$A$5:$A$44,0))&amp;"","")</f>
        <v/>
      </c>
      <c r="G615" s="6">
        <f>IF(AND(E615="",F615=""),"",IF(E615=F615,"agree","DIFFER"))</f>
        <v/>
      </c>
      <c r="H615" s="7" t="n"/>
      <c r="I615" s="6">
        <f>IF(H615&lt;&gt;"",H615,IF(G615="agree",E615,""))</f>
        <v/>
      </c>
    </row>
    <row r="616">
      <c r="A616" s="6" t="inlineStr">
        <is>
          <t>L31</t>
        </is>
      </c>
      <c r="B616" s="6" t="inlineStr">
        <is>
          <t>infeasible</t>
        </is>
      </c>
      <c r="C616" s="6" t="inlineStr">
        <is>
          <t>Risk — Compliance</t>
        </is>
      </c>
      <c r="D616" s="6" t="inlineStr">
        <is>
          <t>Yes</t>
        </is>
      </c>
      <c r="E616" s="6">
        <f>IFERROR(INDEX('Annotator A'!$Q$5:$Q$44,MATCH($A616,'Annotator A'!$A$5:$A$44,0))&amp;"","")</f>
        <v/>
      </c>
      <c r="F616" s="6">
        <f>IFERROR(INDEX('Annotator B'!$Q$5:$Q$44,MATCH($A616,'Annotator B'!$A$5:$A$44,0))&amp;"","")</f>
        <v/>
      </c>
      <c r="G616" s="6">
        <f>IF(AND(E616="",F616=""),"",IF(E616=F616,"agree","DIFFER"))</f>
        <v/>
      </c>
      <c r="H616" s="7" t="n"/>
      <c r="I616" s="6">
        <f>IF(H616&lt;&gt;"",H616,IF(G616="agree",E616,""))</f>
        <v/>
      </c>
    </row>
    <row r="617">
      <c r="A617" s="6" t="inlineStr">
        <is>
          <t>L31</t>
        </is>
      </c>
      <c r="B617" s="6" t="inlineStr">
        <is>
          <t>infeasible</t>
        </is>
      </c>
      <c r="C617" s="6" t="inlineStr">
        <is>
          <t>Risk — Financial</t>
        </is>
      </c>
      <c r="D617" s="6" t="inlineStr">
        <is>
          <t>Yes</t>
        </is>
      </c>
      <c r="E617" s="6">
        <f>IFERROR(INDEX('Annotator A'!$R$5:$R$44,MATCH($A617,'Annotator A'!$A$5:$A$44,0))&amp;"","")</f>
        <v/>
      </c>
      <c r="F617" s="6">
        <f>IFERROR(INDEX('Annotator B'!$R$5:$R$44,MATCH($A617,'Annotator B'!$A$5:$A$44,0))&amp;"","")</f>
        <v/>
      </c>
      <c r="G617" s="6">
        <f>IF(AND(E617="",F617=""),"",IF(E617=F617,"agree","DIFFER"))</f>
        <v/>
      </c>
      <c r="H617" s="7" t="n"/>
      <c r="I617" s="6">
        <f>IF(H617&lt;&gt;"",H617,IF(G617="agree",E617,""))</f>
        <v/>
      </c>
    </row>
    <row r="618">
      <c r="A618" s="6" t="inlineStr">
        <is>
          <t>L31</t>
        </is>
      </c>
      <c r="B618" s="6" t="inlineStr">
        <is>
          <t>infeasible</t>
        </is>
      </c>
      <c r="C618" s="6" t="inlineStr">
        <is>
          <t>Risk — Operational</t>
        </is>
      </c>
      <c r="D618" s="6" t="inlineStr"/>
      <c r="E618" s="6">
        <f>IFERROR(INDEX('Annotator A'!$S$5:$S$44,MATCH($A618,'Annotator A'!$A$5:$A$44,0))&amp;"","")</f>
        <v/>
      </c>
      <c r="F618" s="6">
        <f>IFERROR(INDEX('Annotator B'!$S$5:$S$44,MATCH($A618,'Annotator B'!$A$5:$A$44,0))&amp;"","")</f>
        <v/>
      </c>
      <c r="G618" s="6">
        <f>IF(AND(E618="",F618=""),"",IF(E618=F618,"agree","DIFFER"))</f>
        <v/>
      </c>
      <c r="H618" s="7" t="n"/>
      <c r="I618" s="6">
        <f>IF(H618&lt;&gt;"",H618,IF(G618="agree",E618,""))</f>
        <v/>
      </c>
    </row>
    <row r="619">
      <c r="A619" s="6" t="inlineStr">
        <is>
          <t>L31</t>
        </is>
      </c>
      <c r="B619" s="6" t="inlineStr">
        <is>
          <t>infeasible</t>
        </is>
      </c>
      <c r="C619" s="6" t="inlineStr">
        <is>
          <t>Risk — Adoption</t>
        </is>
      </c>
      <c r="D619" s="6" t="inlineStr"/>
      <c r="E619" s="6">
        <f>IFERROR(INDEX('Annotator A'!$T$5:$T$44,MATCH($A619,'Annotator A'!$A$5:$A$44,0))&amp;"","")</f>
        <v/>
      </c>
      <c r="F619" s="6">
        <f>IFERROR(INDEX('Annotator B'!$T$5:$T$44,MATCH($A619,'Annotator B'!$A$5:$A$44,0))&amp;"","")</f>
        <v/>
      </c>
      <c r="G619" s="6">
        <f>IF(AND(E619="",F619=""),"",IF(E619=F619,"agree","DIFFER"))</f>
        <v/>
      </c>
      <c r="H619" s="7" t="n"/>
      <c r="I619" s="6">
        <f>IF(H619&lt;&gt;"",H619,IF(G619="agree",E619,""))</f>
        <v/>
      </c>
    </row>
    <row r="620">
      <c r="A620" s="6" t="inlineStr">
        <is>
          <t>L31</t>
        </is>
      </c>
      <c r="B620" s="6" t="inlineStr">
        <is>
          <t>infeasible</t>
        </is>
      </c>
      <c r="C620" s="6" t="inlineStr">
        <is>
          <t>Risk — Data</t>
        </is>
      </c>
      <c r="D620" s="6" t="inlineStr"/>
      <c r="E620" s="6">
        <f>IFERROR(INDEX('Annotator A'!$U$5:$U$44,MATCH($A620,'Annotator A'!$A$5:$A$44,0))&amp;"","")</f>
        <v/>
      </c>
      <c r="F620" s="6">
        <f>IFERROR(INDEX('Annotator B'!$U$5:$U$44,MATCH($A620,'Annotator B'!$A$5:$A$44,0))&amp;"","")</f>
        <v/>
      </c>
      <c r="G620" s="6">
        <f>IF(AND(E620="",F620=""),"",IF(E620=F620,"agree","DIFFER"))</f>
        <v/>
      </c>
      <c r="H620" s="7" t="n"/>
      <c r="I620" s="6">
        <f>IF(H620&lt;&gt;"",H620,IF(G620="agree",E620,""))</f>
        <v/>
      </c>
    </row>
    <row r="621">
      <c r="A621" s="6" t="inlineStr">
        <is>
          <t>L31</t>
        </is>
      </c>
      <c r="B621" s="6" t="inlineStr">
        <is>
          <t>infeasible</t>
        </is>
      </c>
      <c r="C621" s="6" t="inlineStr">
        <is>
          <t>Risk — Vendor</t>
        </is>
      </c>
      <c r="D621" s="6" t="inlineStr"/>
      <c r="E621" s="6">
        <f>IFERROR(INDEX('Annotator A'!$V$5:$V$44,MATCH($A621,'Annotator A'!$A$5:$A$44,0))&amp;"","")</f>
        <v/>
      </c>
      <c r="F621" s="6">
        <f>IFERROR(INDEX('Annotator B'!$V$5:$V$44,MATCH($A621,'Annotator B'!$A$5:$A$44,0))&amp;"","")</f>
        <v/>
      </c>
      <c r="G621" s="6">
        <f>IF(AND(E621="",F621=""),"",IF(E621=F621,"agree","DIFFER"))</f>
        <v/>
      </c>
      <c r="H621" s="7" t="n"/>
      <c r="I621" s="6">
        <f>IF(H621&lt;&gt;"",H621,IF(G621="agree",E621,""))</f>
        <v/>
      </c>
    </row>
    <row r="622">
      <c r="A622" s="6" t="inlineStr">
        <is>
          <t>L32</t>
        </is>
      </c>
      <c r="B622" s="6" t="inlineStr">
        <is>
          <t>infeasible</t>
        </is>
      </c>
      <c r="C622" s="6" t="inlineStr">
        <is>
          <t>Use cases</t>
        </is>
      </c>
      <c r="D622" s="6" t="inlineStr"/>
      <c r="E622" s="6">
        <f>IFERROR(INDEX('Annotator A'!$C$5:$C$44,MATCH($A622,'Annotator A'!$A$5:$A$44,0))&amp;"","")</f>
        <v/>
      </c>
      <c r="F622" s="6">
        <f>IFERROR(INDEX('Annotator B'!$C$5:$C$44,MATCH($A622,'Annotator B'!$A$5:$A$44,0))&amp;"","")</f>
        <v/>
      </c>
      <c r="G622" s="6" t="inlineStr">
        <is>
          <t>read both</t>
        </is>
      </c>
      <c r="H622" s="7" t="n"/>
      <c r="I622" s="6">
        <f>IF(H622&lt;&gt;"",H622,"")</f>
        <v/>
      </c>
    </row>
    <row r="623">
      <c r="A623" s="6" t="inlineStr">
        <is>
          <t>L32</t>
        </is>
      </c>
      <c r="B623" s="6" t="inlineStr">
        <is>
          <t>infeasible</t>
        </is>
      </c>
      <c r="C623" s="6" t="inlineStr">
        <is>
          <t>Value — Business impact</t>
        </is>
      </c>
      <c r="D623" s="6" t="inlineStr"/>
      <c r="E623" s="6">
        <f>IFERROR(INDEX('Annotator A'!$D$5:$D$44,MATCH($A623,'Annotator A'!$A$5:$A$44,0))&amp;"","")</f>
        <v/>
      </c>
      <c r="F623" s="6">
        <f>IFERROR(INDEX('Annotator B'!$D$5:$D$44,MATCH($A623,'Annotator B'!$A$5:$A$44,0))&amp;"","")</f>
        <v/>
      </c>
      <c r="G623" s="6">
        <f>IF(AND(E623="",F623=""),"",IF(E623=F623,"agree","DIFFER"))</f>
        <v/>
      </c>
      <c r="H623" s="7" t="n"/>
      <c r="I623" s="6">
        <f>IF(H623&lt;&gt;"",H623,IF(G623="agree",E623,""))</f>
        <v/>
      </c>
    </row>
    <row r="624">
      <c r="A624" s="6" t="inlineStr">
        <is>
          <t>L32</t>
        </is>
      </c>
      <c r="B624" s="6" t="inlineStr">
        <is>
          <t>infeasible</t>
        </is>
      </c>
      <c r="C624" s="6" t="inlineStr">
        <is>
          <t>Value — Productivity</t>
        </is>
      </c>
      <c r="D624" s="6" t="inlineStr"/>
      <c r="E624" s="6">
        <f>IFERROR(INDEX('Annotator A'!$E$5:$E$44,MATCH($A624,'Annotator A'!$A$5:$A$44,0))&amp;"","")</f>
        <v/>
      </c>
      <c r="F624" s="6">
        <f>IFERROR(INDEX('Annotator B'!$E$5:$E$44,MATCH($A624,'Annotator B'!$A$5:$A$44,0))&amp;"","")</f>
        <v/>
      </c>
      <c r="G624" s="6">
        <f>IF(AND(E624="",F624=""),"",IF(E624=F624,"agree","DIFFER"))</f>
        <v/>
      </c>
      <c r="H624" s="7" t="n"/>
      <c r="I624" s="6">
        <f>IF(H624&lt;&gt;"",H624,IF(G624="agree",E624,""))</f>
        <v/>
      </c>
    </row>
    <row r="625">
      <c r="A625" s="6" t="inlineStr">
        <is>
          <t>L32</t>
        </is>
      </c>
      <c r="B625" s="6" t="inlineStr">
        <is>
          <t>infeasible</t>
        </is>
      </c>
      <c r="C625" s="6" t="inlineStr">
        <is>
          <t>Value — Cost reduction</t>
        </is>
      </c>
      <c r="D625" s="6" t="inlineStr"/>
      <c r="E625" s="6">
        <f>IFERROR(INDEX('Annotator A'!$F$5:$F$44,MATCH($A625,'Annotator A'!$A$5:$A$44,0))&amp;"","")</f>
        <v/>
      </c>
      <c r="F625" s="6">
        <f>IFERROR(INDEX('Annotator B'!$F$5:$F$44,MATCH($A625,'Annotator B'!$A$5:$A$44,0))&amp;"","")</f>
        <v/>
      </c>
      <c r="G625" s="6">
        <f>IF(AND(E625="",F625=""),"",IF(E625=F625,"agree","DIFFER"))</f>
        <v/>
      </c>
      <c r="H625" s="7" t="n"/>
      <c r="I625" s="6">
        <f>IF(H625&lt;&gt;"",H625,IF(G625="agree",E625,""))</f>
        <v/>
      </c>
    </row>
    <row r="626">
      <c r="A626" s="6" t="inlineStr">
        <is>
          <t>L32</t>
        </is>
      </c>
      <c r="B626" s="6" t="inlineStr">
        <is>
          <t>infeasible</t>
        </is>
      </c>
      <c r="C626" s="6" t="inlineStr">
        <is>
          <t>Value — Revenue</t>
        </is>
      </c>
      <c r="D626" s="6" t="inlineStr"/>
      <c r="E626" s="6">
        <f>IFERROR(INDEX('Annotator A'!$G$5:$G$44,MATCH($A626,'Annotator A'!$A$5:$A$44,0))&amp;"","")</f>
        <v/>
      </c>
      <c r="F626" s="6">
        <f>IFERROR(INDEX('Annotator B'!$G$5:$G$44,MATCH($A626,'Annotator B'!$A$5:$A$44,0))&amp;"","")</f>
        <v/>
      </c>
      <c r="G626" s="6">
        <f>IF(AND(E626="",F626=""),"",IF(E626=F626,"agree","DIFFER"))</f>
        <v/>
      </c>
      <c r="H626" s="7" t="n"/>
      <c r="I626" s="6">
        <f>IF(H626&lt;&gt;"",H626,IF(G626="agree",E626,""))</f>
        <v/>
      </c>
    </row>
    <row r="627">
      <c r="A627" s="6" t="inlineStr">
        <is>
          <t>L32</t>
        </is>
      </c>
      <c r="B627" s="6" t="inlineStr">
        <is>
          <t>infeasible</t>
        </is>
      </c>
      <c r="C627" s="6" t="inlineStr">
        <is>
          <t>Value — Employee experience</t>
        </is>
      </c>
      <c r="D627" s="6" t="inlineStr"/>
      <c r="E627" s="6">
        <f>IFERROR(INDEX('Annotator A'!$H$5:$H$44,MATCH($A627,'Annotator A'!$A$5:$A$44,0))&amp;"","")</f>
        <v/>
      </c>
      <c r="F627" s="6">
        <f>IFERROR(INDEX('Annotator B'!$H$5:$H$44,MATCH($A627,'Annotator B'!$A$5:$A$44,0))&amp;"","")</f>
        <v/>
      </c>
      <c r="G627" s="6">
        <f>IF(AND(E627="",F627=""),"",IF(E627=F627,"agree","DIFFER"))</f>
        <v/>
      </c>
      <c r="H627" s="7" t="n"/>
      <c r="I627" s="6">
        <f>IF(H627&lt;&gt;"",H627,IF(G627="agree",E627,""))</f>
        <v/>
      </c>
    </row>
    <row r="628">
      <c r="A628" s="6" t="inlineStr">
        <is>
          <t>L32</t>
        </is>
      </c>
      <c r="B628" s="6" t="inlineStr">
        <is>
          <t>infeasible</t>
        </is>
      </c>
      <c r="C628" s="6" t="inlineStr">
        <is>
          <t>Value — Customer impact</t>
        </is>
      </c>
      <c r="D628" s="6" t="inlineStr"/>
      <c r="E628" s="6">
        <f>IFERROR(INDEX('Annotator A'!$I$5:$I$44,MATCH($A628,'Annotator A'!$A$5:$A$44,0))&amp;"","")</f>
        <v/>
      </c>
      <c r="F628" s="6">
        <f>IFERROR(INDEX('Annotator B'!$I$5:$I$44,MATCH($A628,'Annotator B'!$A$5:$A$44,0))&amp;"","")</f>
        <v/>
      </c>
      <c r="G628" s="6">
        <f>IF(AND(E628="",F628=""),"",IF(E628=F628,"agree","DIFFER"))</f>
        <v/>
      </c>
      <c r="H628" s="7" t="n"/>
      <c r="I628" s="6">
        <f>IF(H628&lt;&gt;"",H628,IF(G628="agree",E628,""))</f>
        <v/>
      </c>
    </row>
    <row r="629">
      <c r="A629" s="6" t="inlineStr">
        <is>
          <t>L32</t>
        </is>
      </c>
      <c r="B629" s="6" t="inlineStr">
        <is>
          <t>infeasible</t>
        </is>
      </c>
      <c r="C629" s="6" t="inlineStr">
        <is>
          <t>Value — Operational</t>
        </is>
      </c>
      <c r="D629" s="6" t="inlineStr"/>
      <c r="E629" s="6">
        <f>IFERROR(INDEX('Annotator A'!$J$5:$J$44,MATCH($A629,'Annotator A'!$A$5:$A$44,0))&amp;"","")</f>
        <v/>
      </c>
      <c r="F629" s="6">
        <f>IFERROR(INDEX('Annotator B'!$J$5:$J$44,MATCH($A629,'Annotator B'!$A$5:$A$44,0))&amp;"","")</f>
        <v/>
      </c>
      <c r="G629" s="6">
        <f>IF(AND(E629="",F629=""),"",IF(E629=F629,"agree","DIFFER"))</f>
        <v/>
      </c>
      <c r="H629" s="7" t="n"/>
      <c r="I629" s="6">
        <f>IF(H629&lt;&gt;"",H629,IF(G629="agree",E629,""))</f>
        <v/>
      </c>
    </row>
    <row r="630">
      <c r="A630" s="6" t="inlineStr">
        <is>
          <t>L32</t>
        </is>
      </c>
      <c r="B630" s="6" t="inlineStr">
        <is>
          <t>infeasible</t>
        </is>
      </c>
      <c r="C630" s="6" t="inlineStr">
        <is>
          <t>Value — Problem severity</t>
        </is>
      </c>
      <c r="D630" s="6" t="inlineStr"/>
      <c r="E630" s="6">
        <f>IFERROR(INDEX('Annotator A'!$K$5:$K$44,MATCH($A630,'Annotator A'!$A$5:$A$44,0))&amp;"","")</f>
        <v/>
      </c>
      <c r="F630" s="6">
        <f>IFERROR(INDEX('Annotator B'!$K$5:$K$44,MATCH($A630,'Annotator B'!$A$5:$A$44,0))&amp;"","")</f>
        <v/>
      </c>
      <c r="G630" s="6">
        <f>IF(AND(E630="",F630=""),"",IF(E630=F630,"agree","DIFFER"))</f>
        <v/>
      </c>
      <c r="H630" s="7" t="n"/>
      <c r="I630" s="6">
        <f>IF(H630&lt;&gt;"",H630,IF(G630="agree",E630,""))</f>
        <v/>
      </c>
    </row>
    <row r="631">
      <c r="A631" s="6" t="inlineStr">
        <is>
          <t>L32</t>
        </is>
      </c>
      <c r="B631" s="6" t="inlineStr">
        <is>
          <t>infeasible</t>
        </is>
      </c>
      <c r="C631" s="6" t="inlineStr">
        <is>
          <t>Value — Problem frequency</t>
        </is>
      </c>
      <c r="D631" s="6" t="inlineStr"/>
      <c r="E631" s="6">
        <f>IFERROR(INDEX('Annotator A'!$L$5:$L$44,MATCH($A631,'Annotator A'!$A$5:$A$44,0))&amp;"","")</f>
        <v/>
      </c>
      <c r="F631" s="6">
        <f>IFERROR(INDEX('Annotator B'!$L$5:$L$44,MATCH($A631,'Annotator B'!$A$5:$A$44,0))&amp;"","")</f>
        <v/>
      </c>
      <c r="G631" s="6">
        <f>IF(AND(E631="",F631=""),"",IF(E631=F631,"agree","DIFFER"))</f>
        <v/>
      </c>
      <c r="H631" s="7" t="n"/>
      <c r="I631" s="6">
        <f>IF(H631&lt;&gt;"",H631,IF(G631="agree",E631,""))</f>
        <v/>
      </c>
    </row>
    <row r="632">
      <c r="A632" s="6" t="inlineStr">
        <is>
          <t>L32</t>
        </is>
      </c>
      <c r="B632" s="6" t="inlineStr">
        <is>
          <t>infeasible</t>
        </is>
      </c>
      <c r="C632" s="6" t="inlineStr">
        <is>
          <t>Feasibility status</t>
        </is>
      </c>
      <c r="D632" s="6" t="inlineStr">
        <is>
          <t>NOT_CURRENTLY_FEASIBLE</t>
        </is>
      </c>
      <c r="E632" s="6">
        <f>IFERROR(INDEX('Annotator A'!$M$5:$M$44,MATCH($A632,'Annotator A'!$A$5:$A$44,0))&amp;"","")</f>
        <v/>
      </c>
      <c r="F632" s="6">
        <f>IFERROR(INDEX('Annotator B'!$M$5:$M$44,MATCH($A632,'Annotator B'!$A$5:$A$44,0))&amp;"","")</f>
        <v/>
      </c>
      <c r="G632" s="6">
        <f>IF(AND(E632="",F632=""),"",IF(E632=F632,"agree","DIFFER"))</f>
        <v/>
      </c>
      <c r="H632" s="7" t="n"/>
      <c r="I632" s="6">
        <f>IF(H632&lt;&gt;"",H632,IF(G632="agree",E632,""))</f>
        <v/>
      </c>
    </row>
    <row r="633">
      <c r="A633" s="6" t="inlineStr">
        <is>
          <t>L32</t>
        </is>
      </c>
      <c r="B633" s="6" t="inlineStr">
        <is>
          <t>infeasible</t>
        </is>
      </c>
      <c r="C633" s="6" t="inlineStr">
        <is>
          <t>Risk — Technical</t>
        </is>
      </c>
      <c r="D633" s="6" t="inlineStr"/>
      <c r="E633" s="6">
        <f>IFERROR(INDEX('Annotator A'!$N$5:$N$44,MATCH($A633,'Annotator A'!$A$5:$A$44,0))&amp;"","")</f>
        <v/>
      </c>
      <c r="F633" s="6">
        <f>IFERROR(INDEX('Annotator B'!$N$5:$N$44,MATCH($A633,'Annotator B'!$A$5:$A$44,0))&amp;"","")</f>
        <v/>
      </c>
      <c r="G633" s="6">
        <f>IF(AND(E633="",F633=""),"",IF(E633=F633,"agree","DIFFER"))</f>
        <v/>
      </c>
      <c r="H633" s="7" t="n"/>
      <c r="I633" s="6">
        <f>IF(H633&lt;&gt;"",H633,IF(G633="agree",E633,""))</f>
        <v/>
      </c>
    </row>
    <row r="634">
      <c r="A634" s="6" t="inlineStr">
        <is>
          <t>L32</t>
        </is>
      </c>
      <c r="B634" s="6" t="inlineStr">
        <is>
          <t>infeasible</t>
        </is>
      </c>
      <c r="C634" s="6" t="inlineStr">
        <is>
          <t>Risk — Security</t>
        </is>
      </c>
      <c r="D634" s="6" t="inlineStr"/>
      <c r="E634" s="6">
        <f>IFERROR(INDEX('Annotator A'!$O$5:$O$44,MATCH($A634,'Annotator A'!$A$5:$A$44,0))&amp;"","")</f>
        <v/>
      </c>
      <c r="F634" s="6">
        <f>IFERROR(INDEX('Annotator B'!$O$5:$O$44,MATCH($A634,'Annotator B'!$A$5:$A$44,0))&amp;"","")</f>
        <v/>
      </c>
      <c r="G634" s="6">
        <f>IF(AND(E634="",F634=""),"",IF(E634=F634,"agree","DIFFER"))</f>
        <v/>
      </c>
      <c r="H634" s="7" t="n"/>
      <c r="I634" s="6">
        <f>IF(H634&lt;&gt;"",H634,IF(G634="agree",E634,""))</f>
        <v/>
      </c>
    </row>
    <row r="635">
      <c r="A635" s="6" t="inlineStr">
        <is>
          <t>L32</t>
        </is>
      </c>
      <c r="B635" s="6" t="inlineStr">
        <is>
          <t>infeasible</t>
        </is>
      </c>
      <c r="C635" s="6" t="inlineStr">
        <is>
          <t>Risk — Privacy</t>
        </is>
      </c>
      <c r="D635" s="6" t="inlineStr">
        <is>
          <t>Yes</t>
        </is>
      </c>
      <c r="E635" s="6">
        <f>IFERROR(INDEX('Annotator A'!$P$5:$P$44,MATCH($A635,'Annotator A'!$A$5:$A$44,0))&amp;"","")</f>
        <v/>
      </c>
      <c r="F635" s="6">
        <f>IFERROR(INDEX('Annotator B'!$P$5:$P$44,MATCH($A635,'Annotator B'!$A$5:$A$44,0))&amp;"","")</f>
        <v/>
      </c>
      <c r="G635" s="6">
        <f>IF(AND(E635="",F635=""),"",IF(E635=F635,"agree","DIFFER"))</f>
        <v/>
      </c>
      <c r="H635" s="7" t="n"/>
      <c r="I635" s="6">
        <f>IF(H635&lt;&gt;"",H635,IF(G635="agree",E635,""))</f>
        <v/>
      </c>
    </row>
    <row r="636">
      <c r="A636" s="6" t="inlineStr">
        <is>
          <t>L32</t>
        </is>
      </c>
      <c r="B636" s="6" t="inlineStr">
        <is>
          <t>infeasible</t>
        </is>
      </c>
      <c r="C636" s="6" t="inlineStr">
        <is>
          <t>Risk — Compliance</t>
        </is>
      </c>
      <c r="D636" s="6" t="inlineStr">
        <is>
          <t>Yes</t>
        </is>
      </c>
      <c r="E636" s="6">
        <f>IFERROR(INDEX('Annotator A'!$Q$5:$Q$44,MATCH($A636,'Annotator A'!$A$5:$A$44,0))&amp;"","")</f>
        <v/>
      </c>
      <c r="F636" s="6">
        <f>IFERROR(INDEX('Annotator B'!$Q$5:$Q$44,MATCH($A636,'Annotator B'!$A$5:$A$44,0))&amp;"","")</f>
        <v/>
      </c>
      <c r="G636" s="6">
        <f>IF(AND(E636="",F636=""),"",IF(E636=F636,"agree","DIFFER"))</f>
        <v/>
      </c>
      <c r="H636" s="7" t="n"/>
      <c r="I636" s="6">
        <f>IF(H636&lt;&gt;"",H636,IF(G636="agree",E636,""))</f>
        <v/>
      </c>
    </row>
    <row r="637">
      <c r="A637" s="6" t="inlineStr">
        <is>
          <t>L32</t>
        </is>
      </c>
      <c r="B637" s="6" t="inlineStr">
        <is>
          <t>infeasible</t>
        </is>
      </c>
      <c r="C637" s="6" t="inlineStr">
        <is>
          <t>Risk — Financial</t>
        </is>
      </c>
      <c r="D637" s="6" t="inlineStr"/>
      <c r="E637" s="6">
        <f>IFERROR(INDEX('Annotator A'!$R$5:$R$44,MATCH($A637,'Annotator A'!$A$5:$A$44,0))&amp;"","")</f>
        <v/>
      </c>
      <c r="F637" s="6">
        <f>IFERROR(INDEX('Annotator B'!$R$5:$R$44,MATCH($A637,'Annotator B'!$A$5:$A$44,0))&amp;"","")</f>
        <v/>
      </c>
      <c r="G637" s="6">
        <f>IF(AND(E637="",F637=""),"",IF(E637=F637,"agree","DIFFER"))</f>
        <v/>
      </c>
      <c r="H637" s="7" t="n"/>
      <c r="I637" s="6">
        <f>IF(H637&lt;&gt;"",H637,IF(G637="agree",E637,""))</f>
        <v/>
      </c>
    </row>
    <row r="638">
      <c r="A638" s="6" t="inlineStr">
        <is>
          <t>L32</t>
        </is>
      </c>
      <c r="B638" s="6" t="inlineStr">
        <is>
          <t>infeasible</t>
        </is>
      </c>
      <c r="C638" s="6" t="inlineStr">
        <is>
          <t>Risk — Operational</t>
        </is>
      </c>
      <c r="D638" s="6" t="inlineStr"/>
      <c r="E638" s="6">
        <f>IFERROR(INDEX('Annotator A'!$S$5:$S$44,MATCH($A638,'Annotator A'!$A$5:$A$44,0))&amp;"","")</f>
        <v/>
      </c>
      <c r="F638" s="6">
        <f>IFERROR(INDEX('Annotator B'!$S$5:$S$44,MATCH($A638,'Annotator B'!$A$5:$A$44,0))&amp;"","")</f>
        <v/>
      </c>
      <c r="G638" s="6">
        <f>IF(AND(E638="",F638=""),"",IF(E638=F638,"agree","DIFFER"))</f>
        <v/>
      </c>
      <c r="H638" s="7" t="n"/>
      <c r="I638" s="6">
        <f>IF(H638&lt;&gt;"",H638,IF(G638="agree",E638,""))</f>
        <v/>
      </c>
    </row>
    <row r="639">
      <c r="A639" s="6" t="inlineStr">
        <is>
          <t>L32</t>
        </is>
      </c>
      <c r="B639" s="6" t="inlineStr">
        <is>
          <t>infeasible</t>
        </is>
      </c>
      <c r="C639" s="6" t="inlineStr">
        <is>
          <t>Risk — Adoption</t>
        </is>
      </c>
      <c r="D639" s="6" t="inlineStr"/>
      <c r="E639" s="6">
        <f>IFERROR(INDEX('Annotator A'!$T$5:$T$44,MATCH($A639,'Annotator A'!$A$5:$A$44,0))&amp;"","")</f>
        <v/>
      </c>
      <c r="F639" s="6">
        <f>IFERROR(INDEX('Annotator B'!$T$5:$T$44,MATCH($A639,'Annotator B'!$A$5:$A$44,0))&amp;"","")</f>
        <v/>
      </c>
      <c r="G639" s="6">
        <f>IF(AND(E639="",F639=""),"",IF(E639=F639,"agree","DIFFER"))</f>
        <v/>
      </c>
      <c r="H639" s="7" t="n"/>
      <c r="I639" s="6">
        <f>IF(H639&lt;&gt;"",H639,IF(G639="agree",E639,""))</f>
        <v/>
      </c>
    </row>
    <row r="640">
      <c r="A640" s="6" t="inlineStr">
        <is>
          <t>L32</t>
        </is>
      </c>
      <c r="B640" s="6" t="inlineStr">
        <is>
          <t>infeasible</t>
        </is>
      </c>
      <c r="C640" s="6" t="inlineStr">
        <is>
          <t>Risk — Data</t>
        </is>
      </c>
      <c r="D640" s="6" t="inlineStr"/>
      <c r="E640" s="6">
        <f>IFERROR(INDEX('Annotator A'!$U$5:$U$44,MATCH($A640,'Annotator A'!$A$5:$A$44,0))&amp;"","")</f>
        <v/>
      </c>
      <c r="F640" s="6">
        <f>IFERROR(INDEX('Annotator B'!$U$5:$U$44,MATCH($A640,'Annotator B'!$A$5:$A$44,0))&amp;"","")</f>
        <v/>
      </c>
      <c r="G640" s="6">
        <f>IF(AND(E640="",F640=""),"",IF(E640=F640,"agree","DIFFER"))</f>
        <v/>
      </c>
      <c r="H640" s="7" t="n"/>
      <c r="I640" s="6">
        <f>IF(H640&lt;&gt;"",H640,IF(G640="agree",E640,""))</f>
        <v/>
      </c>
    </row>
    <row r="641">
      <c r="A641" s="6" t="inlineStr">
        <is>
          <t>L32</t>
        </is>
      </c>
      <c r="B641" s="6" t="inlineStr">
        <is>
          <t>infeasible</t>
        </is>
      </c>
      <c r="C641" s="6" t="inlineStr">
        <is>
          <t>Risk — Vendor</t>
        </is>
      </c>
      <c r="D641" s="6" t="inlineStr">
        <is>
          <t>Yes</t>
        </is>
      </c>
      <c r="E641" s="6">
        <f>IFERROR(INDEX('Annotator A'!$V$5:$V$44,MATCH($A641,'Annotator A'!$A$5:$A$44,0))&amp;"","")</f>
        <v/>
      </c>
      <c r="F641" s="6">
        <f>IFERROR(INDEX('Annotator B'!$V$5:$V$44,MATCH($A641,'Annotator B'!$A$5:$A$44,0))&amp;"","")</f>
        <v/>
      </c>
      <c r="G641" s="6">
        <f>IF(AND(E641="",F641=""),"",IF(E641=F641,"agree","DIFFER"))</f>
        <v/>
      </c>
      <c r="H641" s="7" t="n"/>
      <c r="I641" s="6">
        <f>IF(H641&lt;&gt;"",H641,IF(G641="agree",E641,""))</f>
        <v/>
      </c>
    </row>
    <row r="642">
      <c r="A642" s="6" t="inlineStr">
        <is>
          <t>L33</t>
        </is>
      </c>
      <c r="B642" s="6" t="inlineStr">
        <is>
          <t>infeasible</t>
        </is>
      </c>
      <c r="C642" s="6" t="inlineStr">
        <is>
          <t>Use cases</t>
        </is>
      </c>
      <c r="D642" s="6" t="inlineStr"/>
      <c r="E642" s="6">
        <f>IFERROR(INDEX('Annotator A'!$C$5:$C$44,MATCH($A642,'Annotator A'!$A$5:$A$44,0))&amp;"","")</f>
        <v/>
      </c>
      <c r="F642" s="6">
        <f>IFERROR(INDEX('Annotator B'!$C$5:$C$44,MATCH($A642,'Annotator B'!$A$5:$A$44,0))&amp;"","")</f>
        <v/>
      </c>
      <c r="G642" s="6" t="inlineStr">
        <is>
          <t>read both</t>
        </is>
      </c>
      <c r="H642" s="7" t="n"/>
      <c r="I642" s="6">
        <f>IF(H642&lt;&gt;"",H642,"")</f>
        <v/>
      </c>
    </row>
    <row r="643">
      <c r="A643" s="6" t="inlineStr">
        <is>
          <t>L33</t>
        </is>
      </c>
      <c r="B643" s="6" t="inlineStr">
        <is>
          <t>infeasible</t>
        </is>
      </c>
      <c r="C643" s="6" t="inlineStr">
        <is>
          <t>Value — Business impact</t>
        </is>
      </c>
      <c r="D643" s="6" t="inlineStr"/>
      <c r="E643" s="6">
        <f>IFERROR(INDEX('Annotator A'!$D$5:$D$44,MATCH($A643,'Annotator A'!$A$5:$A$44,0))&amp;"","")</f>
        <v/>
      </c>
      <c r="F643" s="6">
        <f>IFERROR(INDEX('Annotator B'!$D$5:$D$44,MATCH($A643,'Annotator B'!$A$5:$A$44,0))&amp;"","")</f>
        <v/>
      </c>
      <c r="G643" s="6">
        <f>IF(AND(E643="",F643=""),"",IF(E643=F643,"agree","DIFFER"))</f>
        <v/>
      </c>
      <c r="H643" s="7" t="n"/>
      <c r="I643" s="6">
        <f>IF(H643&lt;&gt;"",H643,IF(G643="agree",E643,""))</f>
        <v/>
      </c>
    </row>
    <row r="644">
      <c r="A644" s="6" t="inlineStr">
        <is>
          <t>L33</t>
        </is>
      </c>
      <c r="B644" s="6" t="inlineStr">
        <is>
          <t>infeasible</t>
        </is>
      </c>
      <c r="C644" s="6" t="inlineStr">
        <is>
          <t>Value — Productivity</t>
        </is>
      </c>
      <c r="D644" s="6" t="inlineStr"/>
      <c r="E644" s="6">
        <f>IFERROR(INDEX('Annotator A'!$E$5:$E$44,MATCH($A644,'Annotator A'!$A$5:$A$44,0))&amp;"","")</f>
        <v/>
      </c>
      <c r="F644" s="6">
        <f>IFERROR(INDEX('Annotator B'!$E$5:$E$44,MATCH($A644,'Annotator B'!$A$5:$A$44,0))&amp;"","")</f>
        <v/>
      </c>
      <c r="G644" s="6">
        <f>IF(AND(E644="",F644=""),"",IF(E644=F644,"agree","DIFFER"))</f>
        <v/>
      </c>
      <c r="H644" s="7" t="n"/>
      <c r="I644" s="6">
        <f>IF(H644&lt;&gt;"",H644,IF(G644="agree",E644,""))</f>
        <v/>
      </c>
    </row>
    <row r="645">
      <c r="A645" s="6" t="inlineStr">
        <is>
          <t>L33</t>
        </is>
      </c>
      <c r="B645" s="6" t="inlineStr">
        <is>
          <t>infeasible</t>
        </is>
      </c>
      <c r="C645" s="6" t="inlineStr">
        <is>
          <t>Value — Cost reduction</t>
        </is>
      </c>
      <c r="D645" s="6" t="inlineStr"/>
      <c r="E645" s="6">
        <f>IFERROR(INDEX('Annotator A'!$F$5:$F$44,MATCH($A645,'Annotator A'!$A$5:$A$44,0))&amp;"","")</f>
        <v/>
      </c>
      <c r="F645" s="6">
        <f>IFERROR(INDEX('Annotator B'!$F$5:$F$44,MATCH($A645,'Annotator B'!$A$5:$A$44,0))&amp;"","")</f>
        <v/>
      </c>
      <c r="G645" s="6">
        <f>IF(AND(E645="",F645=""),"",IF(E645=F645,"agree","DIFFER"))</f>
        <v/>
      </c>
      <c r="H645" s="7" t="n"/>
      <c r="I645" s="6">
        <f>IF(H645&lt;&gt;"",H645,IF(G645="agree",E645,""))</f>
        <v/>
      </c>
    </row>
    <row r="646">
      <c r="A646" s="6" t="inlineStr">
        <is>
          <t>L33</t>
        </is>
      </c>
      <c r="B646" s="6" t="inlineStr">
        <is>
          <t>infeasible</t>
        </is>
      </c>
      <c r="C646" s="6" t="inlineStr">
        <is>
          <t>Value — Revenue</t>
        </is>
      </c>
      <c r="D646" s="6" t="inlineStr"/>
      <c r="E646" s="6">
        <f>IFERROR(INDEX('Annotator A'!$G$5:$G$44,MATCH($A646,'Annotator A'!$A$5:$A$44,0))&amp;"","")</f>
        <v/>
      </c>
      <c r="F646" s="6">
        <f>IFERROR(INDEX('Annotator B'!$G$5:$G$44,MATCH($A646,'Annotator B'!$A$5:$A$44,0))&amp;"","")</f>
        <v/>
      </c>
      <c r="G646" s="6">
        <f>IF(AND(E646="",F646=""),"",IF(E646=F646,"agree","DIFFER"))</f>
        <v/>
      </c>
      <c r="H646" s="7" t="n"/>
      <c r="I646" s="6">
        <f>IF(H646&lt;&gt;"",H646,IF(G646="agree",E646,""))</f>
        <v/>
      </c>
    </row>
    <row r="647">
      <c r="A647" s="6" t="inlineStr">
        <is>
          <t>L33</t>
        </is>
      </c>
      <c r="B647" s="6" t="inlineStr">
        <is>
          <t>infeasible</t>
        </is>
      </c>
      <c r="C647" s="6" t="inlineStr">
        <is>
          <t>Value — Employee experience</t>
        </is>
      </c>
      <c r="D647" s="6" t="inlineStr"/>
      <c r="E647" s="6">
        <f>IFERROR(INDEX('Annotator A'!$H$5:$H$44,MATCH($A647,'Annotator A'!$A$5:$A$44,0))&amp;"","")</f>
        <v/>
      </c>
      <c r="F647" s="6">
        <f>IFERROR(INDEX('Annotator B'!$H$5:$H$44,MATCH($A647,'Annotator B'!$A$5:$A$44,0))&amp;"","")</f>
        <v/>
      </c>
      <c r="G647" s="6">
        <f>IF(AND(E647="",F647=""),"",IF(E647=F647,"agree","DIFFER"))</f>
        <v/>
      </c>
      <c r="H647" s="7" t="n"/>
      <c r="I647" s="6">
        <f>IF(H647&lt;&gt;"",H647,IF(G647="agree",E647,""))</f>
        <v/>
      </c>
    </row>
    <row r="648">
      <c r="A648" s="6" t="inlineStr">
        <is>
          <t>L33</t>
        </is>
      </c>
      <c r="B648" s="6" t="inlineStr">
        <is>
          <t>infeasible</t>
        </is>
      </c>
      <c r="C648" s="6" t="inlineStr">
        <is>
          <t>Value — Customer impact</t>
        </is>
      </c>
      <c r="D648" s="6" t="inlineStr"/>
      <c r="E648" s="6">
        <f>IFERROR(INDEX('Annotator A'!$I$5:$I$44,MATCH($A648,'Annotator A'!$A$5:$A$44,0))&amp;"","")</f>
        <v/>
      </c>
      <c r="F648" s="6">
        <f>IFERROR(INDEX('Annotator B'!$I$5:$I$44,MATCH($A648,'Annotator B'!$A$5:$A$44,0))&amp;"","")</f>
        <v/>
      </c>
      <c r="G648" s="6">
        <f>IF(AND(E648="",F648=""),"",IF(E648=F648,"agree","DIFFER"))</f>
        <v/>
      </c>
      <c r="H648" s="7" t="n"/>
      <c r="I648" s="6">
        <f>IF(H648&lt;&gt;"",H648,IF(G648="agree",E648,""))</f>
        <v/>
      </c>
    </row>
    <row r="649">
      <c r="A649" s="6" t="inlineStr">
        <is>
          <t>L33</t>
        </is>
      </c>
      <c r="B649" s="6" t="inlineStr">
        <is>
          <t>infeasible</t>
        </is>
      </c>
      <c r="C649" s="6" t="inlineStr">
        <is>
          <t>Value — Operational</t>
        </is>
      </c>
      <c r="D649" s="6" t="inlineStr"/>
      <c r="E649" s="6">
        <f>IFERROR(INDEX('Annotator A'!$J$5:$J$44,MATCH($A649,'Annotator A'!$A$5:$A$44,0))&amp;"","")</f>
        <v/>
      </c>
      <c r="F649" s="6">
        <f>IFERROR(INDEX('Annotator B'!$J$5:$J$44,MATCH($A649,'Annotator B'!$A$5:$A$44,0))&amp;"","")</f>
        <v/>
      </c>
      <c r="G649" s="6">
        <f>IF(AND(E649="",F649=""),"",IF(E649=F649,"agree","DIFFER"))</f>
        <v/>
      </c>
      <c r="H649" s="7" t="n"/>
      <c r="I649" s="6">
        <f>IF(H649&lt;&gt;"",H649,IF(G649="agree",E649,""))</f>
        <v/>
      </c>
    </row>
    <row r="650">
      <c r="A650" s="6" t="inlineStr">
        <is>
          <t>L33</t>
        </is>
      </c>
      <c r="B650" s="6" t="inlineStr">
        <is>
          <t>infeasible</t>
        </is>
      </c>
      <c r="C650" s="6" t="inlineStr">
        <is>
          <t>Value — Problem severity</t>
        </is>
      </c>
      <c r="D650" s="6" t="inlineStr"/>
      <c r="E650" s="6">
        <f>IFERROR(INDEX('Annotator A'!$K$5:$K$44,MATCH($A650,'Annotator A'!$A$5:$A$44,0))&amp;"","")</f>
        <v/>
      </c>
      <c r="F650" s="6">
        <f>IFERROR(INDEX('Annotator B'!$K$5:$K$44,MATCH($A650,'Annotator B'!$A$5:$A$44,0))&amp;"","")</f>
        <v/>
      </c>
      <c r="G650" s="6">
        <f>IF(AND(E650="",F650=""),"",IF(E650=F650,"agree","DIFFER"))</f>
        <v/>
      </c>
      <c r="H650" s="7" t="n"/>
      <c r="I650" s="6">
        <f>IF(H650&lt;&gt;"",H650,IF(G650="agree",E650,""))</f>
        <v/>
      </c>
    </row>
    <row r="651">
      <c r="A651" s="6" t="inlineStr">
        <is>
          <t>L33</t>
        </is>
      </c>
      <c r="B651" s="6" t="inlineStr">
        <is>
          <t>infeasible</t>
        </is>
      </c>
      <c r="C651" s="6" t="inlineStr">
        <is>
          <t>Value — Problem frequency</t>
        </is>
      </c>
      <c r="D651" s="6" t="inlineStr"/>
      <c r="E651" s="6">
        <f>IFERROR(INDEX('Annotator A'!$L$5:$L$44,MATCH($A651,'Annotator A'!$A$5:$A$44,0))&amp;"","")</f>
        <v/>
      </c>
      <c r="F651" s="6">
        <f>IFERROR(INDEX('Annotator B'!$L$5:$L$44,MATCH($A651,'Annotator B'!$A$5:$A$44,0))&amp;"","")</f>
        <v/>
      </c>
      <c r="G651" s="6">
        <f>IF(AND(E651="",F651=""),"",IF(E651=F651,"agree","DIFFER"))</f>
        <v/>
      </c>
      <c r="H651" s="7" t="n"/>
      <c r="I651" s="6">
        <f>IF(H651&lt;&gt;"",H651,IF(G651="agree",E651,""))</f>
        <v/>
      </c>
    </row>
    <row r="652">
      <c r="A652" s="6" t="inlineStr">
        <is>
          <t>L33</t>
        </is>
      </c>
      <c r="B652" s="6" t="inlineStr">
        <is>
          <t>infeasible</t>
        </is>
      </c>
      <c r="C652" s="6" t="inlineStr">
        <is>
          <t>Feasibility status</t>
        </is>
      </c>
      <c r="D652" s="6" t="inlineStr">
        <is>
          <t>NOT_CURRENTLY_FEASIBLE</t>
        </is>
      </c>
      <c r="E652" s="6">
        <f>IFERROR(INDEX('Annotator A'!$M$5:$M$44,MATCH($A652,'Annotator A'!$A$5:$A$44,0))&amp;"","")</f>
        <v/>
      </c>
      <c r="F652" s="6">
        <f>IFERROR(INDEX('Annotator B'!$M$5:$M$44,MATCH($A652,'Annotator B'!$A$5:$A$44,0))&amp;"","")</f>
        <v/>
      </c>
      <c r="G652" s="6">
        <f>IF(AND(E652="",F652=""),"",IF(E652=F652,"agree","DIFFER"))</f>
        <v/>
      </c>
      <c r="H652" s="7" t="n"/>
      <c r="I652" s="6">
        <f>IF(H652&lt;&gt;"",H652,IF(G652="agree",E652,""))</f>
        <v/>
      </c>
    </row>
    <row r="653">
      <c r="A653" s="6" t="inlineStr">
        <is>
          <t>L33</t>
        </is>
      </c>
      <c r="B653" s="6" t="inlineStr">
        <is>
          <t>infeasible</t>
        </is>
      </c>
      <c r="C653" s="6" t="inlineStr">
        <is>
          <t>Risk — Technical</t>
        </is>
      </c>
      <c r="D653" s="6" t="inlineStr"/>
      <c r="E653" s="6">
        <f>IFERROR(INDEX('Annotator A'!$N$5:$N$44,MATCH($A653,'Annotator A'!$A$5:$A$44,0))&amp;"","")</f>
        <v/>
      </c>
      <c r="F653" s="6">
        <f>IFERROR(INDEX('Annotator B'!$N$5:$N$44,MATCH($A653,'Annotator B'!$A$5:$A$44,0))&amp;"","")</f>
        <v/>
      </c>
      <c r="G653" s="6">
        <f>IF(AND(E653="",F653=""),"",IF(E653=F653,"agree","DIFFER"))</f>
        <v/>
      </c>
      <c r="H653" s="7" t="n"/>
      <c r="I653" s="6">
        <f>IF(H653&lt;&gt;"",H653,IF(G653="agree",E653,""))</f>
        <v/>
      </c>
    </row>
    <row r="654">
      <c r="A654" s="6" t="inlineStr">
        <is>
          <t>L33</t>
        </is>
      </c>
      <c r="B654" s="6" t="inlineStr">
        <is>
          <t>infeasible</t>
        </is>
      </c>
      <c r="C654" s="6" t="inlineStr">
        <is>
          <t>Risk — Security</t>
        </is>
      </c>
      <c r="D654" s="6" t="inlineStr">
        <is>
          <t>Yes</t>
        </is>
      </c>
      <c r="E654" s="6">
        <f>IFERROR(INDEX('Annotator A'!$O$5:$O$44,MATCH($A654,'Annotator A'!$A$5:$A$44,0))&amp;"","")</f>
        <v/>
      </c>
      <c r="F654" s="6">
        <f>IFERROR(INDEX('Annotator B'!$O$5:$O$44,MATCH($A654,'Annotator B'!$A$5:$A$44,0))&amp;"","")</f>
        <v/>
      </c>
      <c r="G654" s="6">
        <f>IF(AND(E654="",F654=""),"",IF(E654=F654,"agree","DIFFER"))</f>
        <v/>
      </c>
      <c r="H654" s="7" t="n"/>
      <c r="I654" s="6">
        <f>IF(H654&lt;&gt;"",H654,IF(G654="agree",E654,""))</f>
        <v/>
      </c>
    </row>
    <row r="655">
      <c r="A655" s="6" t="inlineStr">
        <is>
          <t>L33</t>
        </is>
      </c>
      <c r="B655" s="6" t="inlineStr">
        <is>
          <t>infeasible</t>
        </is>
      </c>
      <c r="C655" s="6" t="inlineStr">
        <is>
          <t>Risk — Privacy</t>
        </is>
      </c>
      <c r="D655" s="6" t="inlineStr">
        <is>
          <t>Yes</t>
        </is>
      </c>
      <c r="E655" s="6">
        <f>IFERROR(INDEX('Annotator A'!$P$5:$P$44,MATCH($A655,'Annotator A'!$A$5:$A$44,0))&amp;"","")</f>
        <v/>
      </c>
      <c r="F655" s="6">
        <f>IFERROR(INDEX('Annotator B'!$P$5:$P$44,MATCH($A655,'Annotator B'!$A$5:$A$44,0))&amp;"","")</f>
        <v/>
      </c>
      <c r="G655" s="6">
        <f>IF(AND(E655="",F655=""),"",IF(E655=F655,"agree","DIFFER"))</f>
        <v/>
      </c>
      <c r="H655" s="7" t="n"/>
      <c r="I655" s="6">
        <f>IF(H655&lt;&gt;"",H655,IF(G655="agree",E655,""))</f>
        <v/>
      </c>
    </row>
    <row r="656">
      <c r="A656" s="6" t="inlineStr">
        <is>
          <t>L33</t>
        </is>
      </c>
      <c r="B656" s="6" t="inlineStr">
        <is>
          <t>infeasible</t>
        </is>
      </c>
      <c r="C656" s="6" t="inlineStr">
        <is>
          <t>Risk — Compliance</t>
        </is>
      </c>
      <c r="D656" s="6" t="inlineStr">
        <is>
          <t>Yes</t>
        </is>
      </c>
      <c r="E656" s="6">
        <f>IFERROR(INDEX('Annotator A'!$Q$5:$Q$44,MATCH($A656,'Annotator A'!$A$5:$A$44,0))&amp;"","")</f>
        <v/>
      </c>
      <c r="F656" s="6">
        <f>IFERROR(INDEX('Annotator B'!$Q$5:$Q$44,MATCH($A656,'Annotator B'!$A$5:$A$44,0))&amp;"","")</f>
        <v/>
      </c>
      <c r="G656" s="6">
        <f>IF(AND(E656="",F656=""),"",IF(E656=F656,"agree","DIFFER"))</f>
        <v/>
      </c>
      <c r="H656" s="7" t="n"/>
      <c r="I656" s="6">
        <f>IF(H656&lt;&gt;"",H656,IF(G656="agree",E656,""))</f>
        <v/>
      </c>
    </row>
    <row r="657">
      <c r="A657" s="6" t="inlineStr">
        <is>
          <t>L33</t>
        </is>
      </c>
      <c r="B657" s="6" t="inlineStr">
        <is>
          <t>infeasible</t>
        </is>
      </c>
      <c r="C657" s="6" t="inlineStr">
        <is>
          <t>Risk — Financial</t>
        </is>
      </c>
      <c r="D657" s="6" t="inlineStr"/>
      <c r="E657" s="6">
        <f>IFERROR(INDEX('Annotator A'!$R$5:$R$44,MATCH($A657,'Annotator A'!$A$5:$A$44,0))&amp;"","")</f>
        <v/>
      </c>
      <c r="F657" s="6">
        <f>IFERROR(INDEX('Annotator B'!$R$5:$R$44,MATCH($A657,'Annotator B'!$A$5:$A$44,0))&amp;"","")</f>
        <v/>
      </c>
      <c r="G657" s="6">
        <f>IF(AND(E657="",F657=""),"",IF(E657=F657,"agree","DIFFER"))</f>
        <v/>
      </c>
      <c r="H657" s="7" t="n"/>
      <c r="I657" s="6">
        <f>IF(H657&lt;&gt;"",H657,IF(G657="agree",E657,""))</f>
        <v/>
      </c>
    </row>
    <row r="658">
      <c r="A658" s="6" t="inlineStr">
        <is>
          <t>L33</t>
        </is>
      </c>
      <c r="B658" s="6" t="inlineStr">
        <is>
          <t>infeasible</t>
        </is>
      </c>
      <c r="C658" s="6" t="inlineStr">
        <is>
          <t>Risk — Operational</t>
        </is>
      </c>
      <c r="D658" s="6" t="inlineStr"/>
      <c r="E658" s="6">
        <f>IFERROR(INDEX('Annotator A'!$S$5:$S$44,MATCH($A658,'Annotator A'!$A$5:$A$44,0))&amp;"","")</f>
        <v/>
      </c>
      <c r="F658" s="6">
        <f>IFERROR(INDEX('Annotator B'!$S$5:$S$44,MATCH($A658,'Annotator B'!$A$5:$A$44,0))&amp;"","")</f>
        <v/>
      </c>
      <c r="G658" s="6">
        <f>IF(AND(E658="",F658=""),"",IF(E658=F658,"agree","DIFFER"))</f>
        <v/>
      </c>
      <c r="H658" s="7" t="n"/>
      <c r="I658" s="6">
        <f>IF(H658&lt;&gt;"",H658,IF(G658="agree",E658,""))</f>
        <v/>
      </c>
    </row>
    <row r="659">
      <c r="A659" s="6" t="inlineStr">
        <is>
          <t>L33</t>
        </is>
      </c>
      <c r="B659" s="6" t="inlineStr">
        <is>
          <t>infeasible</t>
        </is>
      </c>
      <c r="C659" s="6" t="inlineStr">
        <is>
          <t>Risk — Adoption</t>
        </is>
      </c>
      <c r="D659" s="6" t="inlineStr"/>
      <c r="E659" s="6">
        <f>IFERROR(INDEX('Annotator A'!$T$5:$T$44,MATCH($A659,'Annotator A'!$A$5:$A$44,0))&amp;"","")</f>
        <v/>
      </c>
      <c r="F659" s="6">
        <f>IFERROR(INDEX('Annotator B'!$T$5:$T$44,MATCH($A659,'Annotator B'!$A$5:$A$44,0))&amp;"","")</f>
        <v/>
      </c>
      <c r="G659" s="6">
        <f>IF(AND(E659="",F659=""),"",IF(E659=F659,"agree","DIFFER"))</f>
        <v/>
      </c>
      <c r="H659" s="7" t="n"/>
      <c r="I659" s="6">
        <f>IF(H659&lt;&gt;"",H659,IF(G659="agree",E659,""))</f>
        <v/>
      </c>
    </row>
    <row r="660">
      <c r="A660" s="6" t="inlineStr">
        <is>
          <t>L33</t>
        </is>
      </c>
      <c r="B660" s="6" t="inlineStr">
        <is>
          <t>infeasible</t>
        </is>
      </c>
      <c r="C660" s="6" t="inlineStr">
        <is>
          <t>Risk — Data</t>
        </is>
      </c>
      <c r="D660" s="6" t="inlineStr">
        <is>
          <t>Yes</t>
        </is>
      </c>
      <c r="E660" s="6">
        <f>IFERROR(INDEX('Annotator A'!$U$5:$U$44,MATCH($A660,'Annotator A'!$A$5:$A$44,0))&amp;"","")</f>
        <v/>
      </c>
      <c r="F660" s="6">
        <f>IFERROR(INDEX('Annotator B'!$U$5:$U$44,MATCH($A660,'Annotator B'!$A$5:$A$44,0))&amp;"","")</f>
        <v/>
      </c>
      <c r="G660" s="6">
        <f>IF(AND(E660="",F660=""),"",IF(E660=F660,"agree","DIFFER"))</f>
        <v/>
      </c>
      <c r="H660" s="7" t="n"/>
      <c r="I660" s="6">
        <f>IF(H660&lt;&gt;"",H660,IF(G660="agree",E660,""))</f>
        <v/>
      </c>
    </row>
    <row r="661">
      <c r="A661" s="6" t="inlineStr">
        <is>
          <t>L33</t>
        </is>
      </c>
      <c r="B661" s="6" t="inlineStr">
        <is>
          <t>infeasible</t>
        </is>
      </c>
      <c r="C661" s="6" t="inlineStr">
        <is>
          <t>Risk — Vendor</t>
        </is>
      </c>
      <c r="D661" s="6" t="inlineStr"/>
      <c r="E661" s="6">
        <f>IFERROR(INDEX('Annotator A'!$V$5:$V$44,MATCH($A661,'Annotator A'!$A$5:$A$44,0))&amp;"","")</f>
        <v/>
      </c>
      <c r="F661" s="6">
        <f>IFERROR(INDEX('Annotator B'!$V$5:$V$44,MATCH($A661,'Annotator B'!$A$5:$A$44,0))&amp;"","")</f>
        <v/>
      </c>
      <c r="G661" s="6">
        <f>IF(AND(E661="",F661=""),"",IF(E661=F661,"agree","DIFFER"))</f>
        <v/>
      </c>
      <c r="H661" s="7" t="n"/>
      <c r="I661" s="6">
        <f>IF(H661&lt;&gt;"",H661,IF(G661="agree",E661,""))</f>
        <v/>
      </c>
    </row>
    <row r="662">
      <c r="A662" s="6" t="inlineStr">
        <is>
          <t>L34</t>
        </is>
      </c>
      <c r="B662" s="6" t="inlineStr">
        <is>
          <t>vague</t>
        </is>
      </c>
      <c r="C662" s="6" t="inlineStr">
        <is>
          <t>Use cases</t>
        </is>
      </c>
      <c r="D662" s="6" t="inlineStr"/>
      <c r="E662" s="6">
        <f>IFERROR(INDEX('Annotator A'!$C$5:$C$44,MATCH($A662,'Annotator A'!$A$5:$A$44,0))&amp;"","")</f>
        <v/>
      </c>
      <c r="F662" s="6">
        <f>IFERROR(INDEX('Annotator B'!$C$5:$C$44,MATCH($A662,'Annotator B'!$A$5:$A$44,0))&amp;"","")</f>
        <v/>
      </c>
      <c r="G662" s="6" t="inlineStr">
        <is>
          <t>read both</t>
        </is>
      </c>
      <c r="H662" s="7" t="n"/>
      <c r="I662" s="6">
        <f>IF(H662&lt;&gt;"",H662,"")</f>
        <v/>
      </c>
    </row>
    <row r="663">
      <c r="A663" s="6" t="inlineStr">
        <is>
          <t>L34</t>
        </is>
      </c>
      <c r="B663" s="6" t="inlineStr">
        <is>
          <t>vague</t>
        </is>
      </c>
      <c r="C663" s="6" t="inlineStr">
        <is>
          <t>Value — Business impact</t>
        </is>
      </c>
      <c r="D663" s="6" t="inlineStr"/>
      <c r="E663" s="6">
        <f>IFERROR(INDEX('Annotator A'!$D$5:$D$44,MATCH($A663,'Annotator A'!$A$5:$A$44,0))&amp;"","")</f>
        <v/>
      </c>
      <c r="F663" s="6">
        <f>IFERROR(INDEX('Annotator B'!$D$5:$D$44,MATCH($A663,'Annotator B'!$A$5:$A$44,0))&amp;"","")</f>
        <v/>
      </c>
      <c r="G663" s="6">
        <f>IF(AND(E663="",F663=""),"",IF(E663=F663,"agree","DIFFER"))</f>
        <v/>
      </c>
      <c r="H663" s="7" t="n"/>
      <c r="I663" s="6">
        <f>IF(H663&lt;&gt;"",H663,IF(G663="agree",E663,""))</f>
        <v/>
      </c>
    </row>
    <row r="664">
      <c r="A664" s="6" t="inlineStr">
        <is>
          <t>L34</t>
        </is>
      </c>
      <c r="B664" s="6" t="inlineStr">
        <is>
          <t>vague</t>
        </is>
      </c>
      <c r="C664" s="6" t="inlineStr">
        <is>
          <t>Value — Productivity</t>
        </is>
      </c>
      <c r="D664" s="6" t="inlineStr"/>
      <c r="E664" s="6">
        <f>IFERROR(INDEX('Annotator A'!$E$5:$E$44,MATCH($A664,'Annotator A'!$A$5:$A$44,0))&amp;"","")</f>
        <v/>
      </c>
      <c r="F664" s="6">
        <f>IFERROR(INDEX('Annotator B'!$E$5:$E$44,MATCH($A664,'Annotator B'!$A$5:$A$44,0))&amp;"","")</f>
        <v/>
      </c>
      <c r="G664" s="6">
        <f>IF(AND(E664="",F664=""),"",IF(E664=F664,"agree","DIFFER"))</f>
        <v/>
      </c>
      <c r="H664" s="7" t="n"/>
      <c r="I664" s="6">
        <f>IF(H664&lt;&gt;"",H664,IF(G664="agree",E664,""))</f>
        <v/>
      </c>
    </row>
    <row r="665">
      <c r="A665" s="6" t="inlineStr">
        <is>
          <t>L34</t>
        </is>
      </c>
      <c r="B665" s="6" t="inlineStr">
        <is>
          <t>vague</t>
        </is>
      </c>
      <c r="C665" s="6" t="inlineStr">
        <is>
          <t>Value — Cost reduction</t>
        </is>
      </c>
      <c r="D665" s="6" t="inlineStr"/>
      <c r="E665" s="6">
        <f>IFERROR(INDEX('Annotator A'!$F$5:$F$44,MATCH($A665,'Annotator A'!$A$5:$A$44,0))&amp;"","")</f>
        <v/>
      </c>
      <c r="F665" s="6">
        <f>IFERROR(INDEX('Annotator B'!$F$5:$F$44,MATCH($A665,'Annotator B'!$A$5:$A$44,0))&amp;"","")</f>
        <v/>
      </c>
      <c r="G665" s="6">
        <f>IF(AND(E665="",F665=""),"",IF(E665=F665,"agree","DIFFER"))</f>
        <v/>
      </c>
      <c r="H665" s="7" t="n"/>
      <c r="I665" s="6">
        <f>IF(H665&lt;&gt;"",H665,IF(G665="agree",E665,""))</f>
        <v/>
      </c>
    </row>
    <row r="666">
      <c r="A666" s="6" t="inlineStr">
        <is>
          <t>L34</t>
        </is>
      </c>
      <c r="B666" s="6" t="inlineStr">
        <is>
          <t>vague</t>
        </is>
      </c>
      <c r="C666" s="6" t="inlineStr">
        <is>
          <t>Value — Revenue</t>
        </is>
      </c>
      <c r="D666" s="6" t="inlineStr"/>
      <c r="E666" s="6">
        <f>IFERROR(INDEX('Annotator A'!$G$5:$G$44,MATCH($A666,'Annotator A'!$A$5:$A$44,0))&amp;"","")</f>
        <v/>
      </c>
      <c r="F666" s="6">
        <f>IFERROR(INDEX('Annotator B'!$G$5:$G$44,MATCH($A666,'Annotator B'!$A$5:$A$44,0))&amp;"","")</f>
        <v/>
      </c>
      <c r="G666" s="6">
        <f>IF(AND(E666="",F666=""),"",IF(E666=F666,"agree","DIFFER"))</f>
        <v/>
      </c>
      <c r="H666" s="7" t="n"/>
      <c r="I666" s="6">
        <f>IF(H666&lt;&gt;"",H666,IF(G666="agree",E666,""))</f>
        <v/>
      </c>
    </row>
    <row r="667">
      <c r="A667" s="6" t="inlineStr">
        <is>
          <t>L34</t>
        </is>
      </c>
      <c r="B667" s="6" t="inlineStr">
        <is>
          <t>vague</t>
        </is>
      </c>
      <c r="C667" s="6" t="inlineStr">
        <is>
          <t>Value — Employee experience</t>
        </is>
      </c>
      <c r="D667" s="6" t="inlineStr"/>
      <c r="E667" s="6">
        <f>IFERROR(INDEX('Annotator A'!$H$5:$H$44,MATCH($A667,'Annotator A'!$A$5:$A$44,0))&amp;"","")</f>
        <v/>
      </c>
      <c r="F667" s="6">
        <f>IFERROR(INDEX('Annotator B'!$H$5:$H$44,MATCH($A667,'Annotator B'!$A$5:$A$44,0))&amp;"","")</f>
        <v/>
      </c>
      <c r="G667" s="6">
        <f>IF(AND(E667="",F667=""),"",IF(E667=F667,"agree","DIFFER"))</f>
        <v/>
      </c>
      <c r="H667" s="7" t="n"/>
      <c r="I667" s="6">
        <f>IF(H667&lt;&gt;"",H667,IF(G667="agree",E667,""))</f>
        <v/>
      </c>
    </row>
    <row r="668">
      <c r="A668" s="6" t="inlineStr">
        <is>
          <t>L34</t>
        </is>
      </c>
      <c r="B668" s="6" t="inlineStr">
        <is>
          <t>vague</t>
        </is>
      </c>
      <c r="C668" s="6" t="inlineStr">
        <is>
          <t>Value — Customer impact</t>
        </is>
      </c>
      <c r="D668" s="6" t="inlineStr"/>
      <c r="E668" s="6">
        <f>IFERROR(INDEX('Annotator A'!$I$5:$I$44,MATCH($A668,'Annotator A'!$A$5:$A$44,0))&amp;"","")</f>
        <v/>
      </c>
      <c r="F668" s="6">
        <f>IFERROR(INDEX('Annotator B'!$I$5:$I$44,MATCH($A668,'Annotator B'!$A$5:$A$44,0))&amp;"","")</f>
        <v/>
      </c>
      <c r="G668" s="6">
        <f>IF(AND(E668="",F668=""),"",IF(E668=F668,"agree","DIFFER"))</f>
        <v/>
      </c>
      <c r="H668" s="7" t="n"/>
      <c r="I668" s="6">
        <f>IF(H668&lt;&gt;"",H668,IF(G668="agree",E668,""))</f>
        <v/>
      </c>
    </row>
    <row r="669">
      <c r="A669" s="6" t="inlineStr">
        <is>
          <t>L34</t>
        </is>
      </c>
      <c r="B669" s="6" t="inlineStr">
        <is>
          <t>vague</t>
        </is>
      </c>
      <c r="C669" s="6" t="inlineStr">
        <is>
          <t>Value — Operational</t>
        </is>
      </c>
      <c r="D669" s="6" t="inlineStr"/>
      <c r="E669" s="6">
        <f>IFERROR(INDEX('Annotator A'!$J$5:$J$44,MATCH($A669,'Annotator A'!$A$5:$A$44,0))&amp;"","")</f>
        <v/>
      </c>
      <c r="F669" s="6">
        <f>IFERROR(INDEX('Annotator B'!$J$5:$J$44,MATCH($A669,'Annotator B'!$A$5:$A$44,0))&amp;"","")</f>
        <v/>
      </c>
      <c r="G669" s="6">
        <f>IF(AND(E669="",F669=""),"",IF(E669=F669,"agree","DIFFER"))</f>
        <v/>
      </c>
      <c r="H669" s="7" t="n"/>
      <c r="I669" s="6">
        <f>IF(H669&lt;&gt;"",H669,IF(G669="agree",E669,""))</f>
        <v/>
      </c>
    </row>
    <row r="670">
      <c r="A670" s="6" t="inlineStr">
        <is>
          <t>L34</t>
        </is>
      </c>
      <c r="B670" s="6" t="inlineStr">
        <is>
          <t>vague</t>
        </is>
      </c>
      <c r="C670" s="6" t="inlineStr">
        <is>
          <t>Value — Problem severity</t>
        </is>
      </c>
      <c r="D670" s="6" t="inlineStr"/>
      <c r="E670" s="6">
        <f>IFERROR(INDEX('Annotator A'!$K$5:$K$44,MATCH($A670,'Annotator A'!$A$5:$A$44,0))&amp;"","")</f>
        <v/>
      </c>
      <c r="F670" s="6">
        <f>IFERROR(INDEX('Annotator B'!$K$5:$K$44,MATCH($A670,'Annotator B'!$A$5:$A$44,0))&amp;"","")</f>
        <v/>
      </c>
      <c r="G670" s="6">
        <f>IF(AND(E670="",F670=""),"",IF(E670=F670,"agree","DIFFER"))</f>
        <v/>
      </c>
      <c r="H670" s="7" t="n"/>
      <c r="I670" s="6">
        <f>IF(H670&lt;&gt;"",H670,IF(G670="agree",E670,""))</f>
        <v/>
      </c>
    </row>
    <row r="671">
      <c r="A671" s="6" t="inlineStr">
        <is>
          <t>L34</t>
        </is>
      </c>
      <c r="B671" s="6" t="inlineStr">
        <is>
          <t>vague</t>
        </is>
      </c>
      <c r="C671" s="6" t="inlineStr">
        <is>
          <t>Value — Problem frequency</t>
        </is>
      </c>
      <c r="D671" s="6" t="inlineStr"/>
      <c r="E671" s="6">
        <f>IFERROR(INDEX('Annotator A'!$L$5:$L$44,MATCH($A671,'Annotator A'!$A$5:$A$44,0))&amp;"","")</f>
        <v/>
      </c>
      <c r="F671" s="6">
        <f>IFERROR(INDEX('Annotator B'!$L$5:$L$44,MATCH($A671,'Annotator B'!$A$5:$A$44,0))&amp;"","")</f>
        <v/>
      </c>
      <c r="G671" s="6">
        <f>IF(AND(E671="",F671=""),"",IF(E671=F671,"agree","DIFFER"))</f>
        <v/>
      </c>
      <c r="H671" s="7" t="n"/>
      <c r="I671" s="6">
        <f>IF(H671&lt;&gt;"",H671,IF(G671="agree",E671,""))</f>
        <v/>
      </c>
    </row>
    <row r="672">
      <c r="A672" s="6" t="inlineStr">
        <is>
          <t>L34</t>
        </is>
      </c>
      <c r="B672" s="6" t="inlineStr">
        <is>
          <t>vague</t>
        </is>
      </c>
      <c r="C672" s="6" t="inlineStr">
        <is>
          <t>Feasibility status</t>
        </is>
      </c>
      <c r="D672" s="6" t="inlineStr"/>
      <c r="E672" s="6">
        <f>IFERROR(INDEX('Annotator A'!$M$5:$M$44,MATCH($A672,'Annotator A'!$A$5:$A$44,0))&amp;"","")</f>
        <v/>
      </c>
      <c r="F672" s="6">
        <f>IFERROR(INDEX('Annotator B'!$M$5:$M$44,MATCH($A672,'Annotator B'!$A$5:$A$44,0))&amp;"","")</f>
        <v/>
      </c>
      <c r="G672" s="6">
        <f>IF(AND(E672="",F672=""),"",IF(E672=F672,"agree","DIFFER"))</f>
        <v/>
      </c>
      <c r="H672" s="7" t="n"/>
      <c r="I672" s="6">
        <f>IF(H672&lt;&gt;"",H672,IF(G672="agree",E672,""))</f>
        <v/>
      </c>
    </row>
    <row r="673">
      <c r="A673" s="6" t="inlineStr">
        <is>
          <t>L34</t>
        </is>
      </c>
      <c r="B673" s="6" t="inlineStr">
        <is>
          <t>vague</t>
        </is>
      </c>
      <c r="C673" s="6" t="inlineStr">
        <is>
          <t>Risk — Technical</t>
        </is>
      </c>
      <c r="D673" s="6" t="inlineStr"/>
      <c r="E673" s="6">
        <f>IFERROR(INDEX('Annotator A'!$N$5:$N$44,MATCH($A673,'Annotator A'!$A$5:$A$44,0))&amp;"","")</f>
        <v/>
      </c>
      <c r="F673" s="6">
        <f>IFERROR(INDEX('Annotator B'!$N$5:$N$44,MATCH($A673,'Annotator B'!$A$5:$A$44,0))&amp;"","")</f>
        <v/>
      </c>
      <c r="G673" s="6">
        <f>IF(AND(E673="",F673=""),"",IF(E673=F673,"agree","DIFFER"))</f>
        <v/>
      </c>
      <c r="H673" s="7" t="n"/>
      <c r="I673" s="6">
        <f>IF(H673&lt;&gt;"",H673,IF(G673="agree",E673,""))</f>
        <v/>
      </c>
    </row>
    <row r="674">
      <c r="A674" s="6" t="inlineStr">
        <is>
          <t>L34</t>
        </is>
      </c>
      <c r="B674" s="6" t="inlineStr">
        <is>
          <t>vague</t>
        </is>
      </c>
      <c r="C674" s="6" t="inlineStr">
        <is>
          <t>Risk — Security</t>
        </is>
      </c>
      <c r="D674" s="6" t="inlineStr"/>
      <c r="E674" s="6">
        <f>IFERROR(INDEX('Annotator A'!$O$5:$O$44,MATCH($A674,'Annotator A'!$A$5:$A$44,0))&amp;"","")</f>
        <v/>
      </c>
      <c r="F674" s="6">
        <f>IFERROR(INDEX('Annotator B'!$O$5:$O$44,MATCH($A674,'Annotator B'!$A$5:$A$44,0))&amp;"","")</f>
        <v/>
      </c>
      <c r="G674" s="6">
        <f>IF(AND(E674="",F674=""),"",IF(E674=F674,"agree","DIFFER"))</f>
        <v/>
      </c>
      <c r="H674" s="7" t="n"/>
      <c r="I674" s="6">
        <f>IF(H674&lt;&gt;"",H674,IF(G674="agree",E674,""))</f>
        <v/>
      </c>
    </row>
    <row r="675">
      <c r="A675" s="6" t="inlineStr">
        <is>
          <t>L34</t>
        </is>
      </c>
      <c r="B675" s="6" t="inlineStr">
        <is>
          <t>vague</t>
        </is>
      </c>
      <c r="C675" s="6" t="inlineStr">
        <is>
          <t>Risk — Privacy</t>
        </is>
      </c>
      <c r="D675" s="6" t="inlineStr"/>
      <c r="E675" s="6">
        <f>IFERROR(INDEX('Annotator A'!$P$5:$P$44,MATCH($A675,'Annotator A'!$A$5:$A$44,0))&amp;"","")</f>
        <v/>
      </c>
      <c r="F675" s="6">
        <f>IFERROR(INDEX('Annotator B'!$P$5:$P$44,MATCH($A675,'Annotator B'!$A$5:$A$44,0))&amp;"","")</f>
        <v/>
      </c>
      <c r="G675" s="6">
        <f>IF(AND(E675="",F675=""),"",IF(E675=F675,"agree","DIFFER"))</f>
        <v/>
      </c>
      <c r="H675" s="7" t="n"/>
      <c r="I675" s="6">
        <f>IF(H675&lt;&gt;"",H675,IF(G675="agree",E675,""))</f>
        <v/>
      </c>
    </row>
    <row r="676">
      <c r="A676" s="6" t="inlineStr">
        <is>
          <t>L34</t>
        </is>
      </c>
      <c r="B676" s="6" t="inlineStr">
        <is>
          <t>vague</t>
        </is>
      </c>
      <c r="C676" s="6" t="inlineStr">
        <is>
          <t>Risk — Compliance</t>
        </is>
      </c>
      <c r="D676" s="6" t="inlineStr"/>
      <c r="E676" s="6">
        <f>IFERROR(INDEX('Annotator A'!$Q$5:$Q$44,MATCH($A676,'Annotator A'!$A$5:$A$44,0))&amp;"","")</f>
        <v/>
      </c>
      <c r="F676" s="6">
        <f>IFERROR(INDEX('Annotator B'!$Q$5:$Q$44,MATCH($A676,'Annotator B'!$A$5:$A$44,0))&amp;"","")</f>
        <v/>
      </c>
      <c r="G676" s="6">
        <f>IF(AND(E676="",F676=""),"",IF(E676=F676,"agree","DIFFER"))</f>
        <v/>
      </c>
      <c r="H676" s="7" t="n"/>
      <c r="I676" s="6">
        <f>IF(H676&lt;&gt;"",H676,IF(G676="agree",E676,""))</f>
        <v/>
      </c>
    </row>
    <row r="677">
      <c r="A677" s="6" t="inlineStr">
        <is>
          <t>L34</t>
        </is>
      </c>
      <c r="B677" s="6" t="inlineStr">
        <is>
          <t>vague</t>
        </is>
      </c>
      <c r="C677" s="6" t="inlineStr">
        <is>
          <t>Risk — Financial</t>
        </is>
      </c>
      <c r="D677" s="6" t="inlineStr"/>
      <c r="E677" s="6">
        <f>IFERROR(INDEX('Annotator A'!$R$5:$R$44,MATCH($A677,'Annotator A'!$A$5:$A$44,0))&amp;"","")</f>
        <v/>
      </c>
      <c r="F677" s="6">
        <f>IFERROR(INDEX('Annotator B'!$R$5:$R$44,MATCH($A677,'Annotator B'!$A$5:$A$44,0))&amp;"","")</f>
        <v/>
      </c>
      <c r="G677" s="6">
        <f>IF(AND(E677="",F677=""),"",IF(E677=F677,"agree","DIFFER"))</f>
        <v/>
      </c>
      <c r="H677" s="7" t="n"/>
      <c r="I677" s="6">
        <f>IF(H677&lt;&gt;"",H677,IF(G677="agree",E677,""))</f>
        <v/>
      </c>
    </row>
    <row r="678">
      <c r="A678" s="6" t="inlineStr">
        <is>
          <t>L34</t>
        </is>
      </c>
      <c r="B678" s="6" t="inlineStr">
        <is>
          <t>vague</t>
        </is>
      </c>
      <c r="C678" s="6" t="inlineStr">
        <is>
          <t>Risk — Operational</t>
        </is>
      </c>
      <c r="D678" s="6" t="inlineStr"/>
      <c r="E678" s="6">
        <f>IFERROR(INDEX('Annotator A'!$S$5:$S$44,MATCH($A678,'Annotator A'!$A$5:$A$44,0))&amp;"","")</f>
        <v/>
      </c>
      <c r="F678" s="6">
        <f>IFERROR(INDEX('Annotator B'!$S$5:$S$44,MATCH($A678,'Annotator B'!$A$5:$A$44,0))&amp;"","")</f>
        <v/>
      </c>
      <c r="G678" s="6">
        <f>IF(AND(E678="",F678=""),"",IF(E678=F678,"agree","DIFFER"))</f>
        <v/>
      </c>
      <c r="H678" s="7" t="n"/>
      <c r="I678" s="6">
        <f>IF(H678&lt;&gt;"",H678,IF(G678="agree",E678,""))</f>
        <v/>
      </c>
    </row>
    <row r="679">
      <c r="A679" s="6" t="inlineStr">
        <is>
          <t>L34</t>
        </is>
      </c>
      <c r="B679" s="6" t="inlineStr">
        <is>
          <t>vague</t>
        </is>
      </c>
      <c r="C679" s="6" t="inlineStr">
        <is>
          <t>Risk — Adoption</t>
        </is>
      </c>
      <c r="D679" s="6" t="inlineStr"/>
      <c r="E679" s="6">
        <f>IFERROR(INDEX('Annotator A'!$T$5:$T$44,MATCH($A679,'Annotator A'!$A$5:$A$44,0))&amp;"","")</f>
        <v/>
      </c>
      <c r="F679" s="6">
        <f>IFERROR(INDEX('Annotator B'!$T$5:$T$44,MATCH($A679,'Annotator B'!$A$5:$A$44,0))&amp;"","")</f>
        <v/>
      </c>
      <c r="G679" s="6">
        <f>IF(AND(E679="",F679=""),"",IF(E679=F679,"agree","DIFFER"))</f>
        <v/>
      </c>
      <c r="H679" s="7" t="n"/>
      <c r="I679" s="6">
        <f>IF(H679&lt;&gt;"",H679,IF(G679="agree",E679,""))</f>
        <v/>
      </c>
    </row>
    <row r="680">
      <c r="A680" s="6" t="inlineStr">
        <is>
          <t>L34</t>
        </is>
      </c>
      <c r="B680" s="6" t="inlineStr">
        <is>
          <t>vague</t>
        </is>
      </c>
      <c r="C680" s="6" t="inlineStr">
        <is>
          <t>Risk — Data</t>
        </is>
      </c>
      <c r="D680" s="6" t="inlineStr"/>
      <c r="E680" s="6">
        <f>IFERROR(INDEX('Annotator A'!$U$5:$U$44,MATCH($A680,'Annotator A'!$A$5:$A$44,0))&amp;"","")</f>
        <v/>
      </c>
      <c r="F680" s="6">
        <f>IFERROR(INDEX('Annotator B'!$U$5:$U$44,MATCH($A680,'Annotator B'!$A$5:$A$44,0))&amp;"","")</f>
        <v/>
      </c>
      <c r="G680" s="6">
        <f>IF(AND(E680="",F680=""),"",IF(E680=F680,"agree","DIFFER"))</f>
        <v/>
      </c>
      <c r="H680" s="7" t="n"/>
      <c r="I680" s="6">
        <f>IF(H680&lt;&gt;"",H680,IF(G680="agree",E680,""))</f>
        <v/>
      </c>
    </row>
    <row r="681">
      <c r="A681" s="6" t="inlineStr">
        <is>
          <t>L34</t>
        </is>
      </c>
      <c r="B681" s="6" t="inlineStr">
        <is>
          <t>vague</t>
        </is>
      </c>
      <c r="C681" s="6" t="inlineStr">
        <is>
          <t>Risk — Vendor</t>
        </is>
      </c>
      <c r="D681" s="6" t="inlineStr"/>
      <c r="E681" s="6">
        <f>IFERROR(INDEX('Annotator A'!$V$5:$V$44,MATCH($A681,'Annotator A'!$A$5:$A$44,0))&amp;"","")</f>
        <v/>
      </c>
      <c r="F681" s="6">
        <f>IFERROR(INDEX('Annotator B'!$V$5:$V$44,MATCH($A681,'Annotator B'!$A$5:$A$44,0))&amp;"","")</f>
        <v/>
      </c>
      <c r="G681" s="6">
        <f>IF(AND(E681="",F681=""),"",IF(E681=F681,"agree","DIFFER"))</f>
        <v/>
      </c>
      <c r="H681" s="7" t="n"/>
      <c r="I681" s="6">
        <f>IF(H681&lt;&gt;"",H681,IF(G681="agree",E681,""))</f>
        <v/>
      </c>
    </row>
    <row r="682">
      <c r="A682" s="6" t="inlineStr">
        <is>
          <t>L35</t>
        </is>
      </c>
      <c r="B682" s="6" t="inlineStr">
        <is>
          <t>infeasible</t>
        </is>
      </c>
      <c r="C682" s="6" t="inlineStr">
        <is>
          <t>Use cases</t>
        </is>
      </c>
      <c r="D682" s="6" t="inlineStr"/>
      <c r="E682" s="6">
        <f>IFERROR(INDEX('Annotator A'!$C$5:$C$44,MATCH($A682,'Annotator A'!$A$5:$A$44,0))&amp;"","")</f>
        <v/>
      </c>
      <c r="F682" s="6">
        <f>IFERROR(INDEX('Annotator B'!$C$5:$C$44,MATCH($A682,'Annotator B'!$A$5:$A$44,0))&amp;"","")</f>
        <v/>
      </c>
      <c r="G682" s="6" t="inlineStr">
        <is>
          <t>read both</t>
        </is>
      </c>
      <c r="H682" s="7" t="n"/>
      <c r="I682" s="6">
        <f>IF(H682&lt;&gt;"",H682,"")</f>
        <v/>
      </c>
    </row>
    <row r="683">
      <c r="A683" s="6" t="inlineStr">
        <is>
          <t>L35</t>
        </is>
      </c>
      <c r="B683" s="6" t="inlineStr">
        <is>
          <t>infeasible</t>
        </is>
      </c>
      <c r="C683" s="6" t="inlineStr">
        <is>
          <t>Value — Business impact</t>
        </is>
      </c>
      <c r="D683" s="6" t="inlineStr"/>
      <c r="E683" s="6">
        <f>IFERROR(INDEX('Annotator A'!$D$5:$D$44,MATCH($A683,'Annotator A'!$A$5:$A$44,0))&amp;"","")</f>
        <v/>
      </c>
      <c r="F683" s="6">
        <f>IFERROR(INDEX('Annotator B'!$D$5:$D$44,MATCH($A683,'Annotator B'!$A$5:$A$44,0))&amp;"","")</f>
        <v/>
      </c>
      <c r="G683" s="6">
        <f>IF(AND(E683="",F683=""),"",IF(E683=F683,"agree","DIFFER"))</f>
        <v/>
      </c>
      <c r="H683" s="7" t="n"/>
      <c r="I683" s="6">
        <f>IF(H683&lt;&gt;"",H683,IF(G683="agree",E683,""))</f>
        <v/>
      </c>
    </row>
    <row r="684">
      <c r="A684" s="6" t="inlineStr">
        <is>
          <t>L35</t>
        </is>
      </c>
      <c r="B684" s="6" t="inlineStr">
        <is>
          <t>infeasible</t>
        </is>
      </c>
      <c r="C684" s="6" t="inlineStr">
        <is>
          <t>Value — Productivity</t>
        </is>
      </c>
      <c r="D684" s="6" t="inlineStr"/>
      <c r="E684" s="6">
        <f>IFERROR(INDEX('Annotator A'!$E$5:$E$44,MATCH($A684,'Annotator A'!$A$5:$A$44,0))&amp;"","")</f>
        <v/>
      </c>
      <c r="F684" s="6">
        <f>IFERROR(INDEX('Annotator B'!$E$5:$E$44,MATCH($A684,'Annotator B'!$A$5:$A$44,0))&amp;"","")</f>
        <v/>
      </c>
      <c r="G684" s="6">
        <f>IF(AND(E684="",F684=""),"",IF(E684=F684,"agree","DIFFER"))</f>
        <v/>
      </c>
      <c r="H684" s="7" t="n"/>
      <c r="I684" s="6">
        <f>IF(H684&lt;&gt;"",H684,IF(G684="agree",E684,""))</f>
        <v/>
      </c>
    </row>
    <row r="685">
      <c r="A685" s="6" t="inlineStr">
        <is>
          <t>L35</t>
        </is>
      </c>
      <c r="B685" s="6" t="inlineStr">
        <is>
          <t>infeasible</t>
        </is>
      </c>
      <c r="C685" s="6" t="inlineStr">
        <is>
          <t>Value — Cost reduction</t>
        </is>
      </c>
      <c r="D685" s="6" t="inlineStr"/>
      <c r="E685" s="6">
        <f>IFERROR(INDEX('Annotator A'!$F$5:$F$44,MATCH($A685,'Annotator A'!$A$5:$A$44,0))&amp;"","")</f>
        <v/>
      </c>
      <c r="F685" s="6">
        <f>IFERROR(INDEX('Annotator B'!$F$5:$F$44,MATCH($A685,'Annotator B'!$A$5:$A$44,0))&amp;"","")</f>
        <v/>
      </c>
      <c r="G685" s="6">
        <f>IF(AND(E685="",F685=""),"",IF(E685=F685,"agree","DIFFER"))</f>
        <v/>
      </c>
      <c r="H685" s="7" t="n"/>
      <c r="I685" s="6">
        <f>IF(H685&lt;&gt;"",H685,IF(G685="agree",E685,""))</f>
        <v/>
      </c>
    </row>
    <row r="686">
      <c r="A686" s="6" t="inlineStr">
        <is>
          <t>L35</t>
        </is>
      </c>
      <c r="B686" s="6" t="inlineStr">
        <is>
          <t>infeasible</t>
        </is>
      </c>
      <c r="C686" s="6" t="inlineStr">
        <is>
          <t>Value — Revenue</t>
        </is>
      </c>
      <c r="D686" s="6" t="inlineStr"/>
      <c r="E686" s="6">
        <f>IFERROR(INDEX('Annotator A'!$G$5:$G$44,MATCH($A686,'Annotator A'!$A$5:$A$44,0))&amp;"","")</f>
        <v/>
      </c>
      <c r="F686" s="6">
        <f>IFERROR(INDEX('Annotator B'!$G$5:$G$44,MATCH($A686,'Annotator B'!$A$5:$A$44,0))&amp;"","")</f>
        <v/>
      </c>
      <c r="G686" s="6">
        <f>IF(AND(E686="",F686=""),"",IF(E686=F686,"agree","DIFFER"))</f>
        <v/>
      </c>
      <c r="H686" s="7" t="n"/>
      <c r="I686" s="6">
        <f>IF(H686&lt;&gt;"",H686,IF(G686="agree",E686,""))</f>
        <v/>
      </c>
    </row>
    <row r="687">
      <c r="A687" s="6" t="inlineStr">
        <is>
          <t>L35</t>
        </is>
      </c>
      <c r="B687" s="6" t="inlineStr">
        <is>
          <t>infeasible</t>
        </is>
      </c>
      <c r="C687" s="6" t="inlineStr">
        <is>
          <t>Value — Employee experience</t>
        </is>
      </c>
      <c r="D687" s="6" t="inlineStr"/>
      <c r="E687" s="6">
        <f>IFERROR(INDEX('Annotator A'!$H$5:$H$44,MATCH($A687,'Annotator A'!$A$5:$A$44,0))&amp;"","")</f>
        <v/>
      </c>
      <c r="F687" s="6">
        <f>IFERROR(INDEX('Annotator B'!$H$5:$H$44,MATCH($A687,'Annotator B'!$A$5:$A$44,0))&amp;"","")</f>
        <v/>
      </c>
      <c r="G687" s="6">
        <f>IF(AND(E687="",F687=""),"",IF(E687=F687,"agree","DIFFER"))</f>
        <v/>
      </c>
      <c r="H687" s="7" t="n"/>
      <c r="I687" s="6">
        <f>IF(H687&lt;&gt;"",H687,IF(G687="agree",E687,""))</f>
        <v/>
      </c>
    </row>
    <row r="688">
      <c r="A688" s="6" t="inlineStr">
        <is>
          <t>L35</t>
        </is>
      </c>
      <c r="B688" s="6" t="inlineStr">
        <is>
          <t>infeasible</t>
        </is>
      </c>
      <c r="C688" s="6" t="inlineStr">
        <is>
          <t>Value — Customer impact</t>
        </is>
      </c>
      <c r="D688" s="6" t="inlineStr"/>
      <c r="E688" s="6">
        <f>IFERROR(INDEX('Annotator A'!$I$5:$I$44,MATCH($A688,'Annotator A'!$A$5:$A$44,0))&amp;"","")</f>
        <v/>
      </c>
      <c r="F688" s="6">
        <f>IFERROR(INDEX('Annotator B'!$I$5:$I$44,MATCH($A688,'Annotator B'!$A$5:$A$44,0))&amp;"","")</f>
        <v/>
      </c>
      <c r="G688" s="6">
        <f>IF(AND(E688="",F688=""),"",IF(E688=F688,"agree","DIFFER"))</f>
        <v/>
      </c>
      <c r="H688" s="7" t="n"/>
      <c r="I688" s="6">
        <f>IF(H688&lt;&gt;"",H688,IF(G688="agree",E688,""))</f>
        <v/>
      </c>
    </row>
    <row r="689">
      <c r="A689" s="6" t="inlineStr">
        <is>
          <t>L35</t>
        </is>
      </c>
      <c r="B689" s="6" t="inlineStr">
        <is>
          <t>infeasible</t>
        </is>
      </c>
      <c r="C689" s="6" t="inlineStr">
        <is>
          <t>Value — Operational</t>
        </is>
      </c>
      <c r="D689" s="6" t="inlineStr"/>
      <c r="E689" s="6">
        <f>IFERROR(INDEX('Annotator A'!$J$5:$J$44,MATCH($A689,'Annotator A'!$A$5:$A$44,0))&amp;"","")</f>
        <v/>
      </c>
      <c r="F689" s="6">
        <f>IFERROR(INDEX('Annotator B'!$J$5:$J$44,MATCH($A689,'Annotator B'!$A$5:$A$44,0))&amp;"","")</f>
        <v/>
      </c>
      <c r="G689" s="6">
        <f>IF(AND(E689="",F689=""),"",IF(E689=F689,"agree","DIFFER"))</f>
        <v/>
      </c>
      <c r="H689" s="7" t="n"/>
      <c r="I689" s="6">
        <f>IF(H689&lt;&gt;"",H689,IF(G689="agree",E689,""))</f>
        <v/>
      </c>
    </row>
    <row r="690">
      <c r="A690" s="6" t="inlineStr">
        <is>
          <t>L35</t>
        </is>
      </c>
      <c r="B690" s="6" t="inlineStr">
        <is>
          <t>infeasible</t>
        </is>
      </c>
      <c r="C690" s="6" t="inlineStr">
        <is>
          <t>Value — Problem severity</t>
        </is>
      </c>
      <c r="D690" s="6" t="inlineStr"/>
      <c r="E690" s="6">
        <f>IFERROR(INDEX('Annotator A'!$K$5:$K$44,MATCH($A690,'Annotator A'!$A$5:$A$44,0))&amp;"","")</f>
        <v/>
      </c>
      <c r="F690" s="6">
        <f>IFERROR(INDEX('Annotator B'!$K$5:$K$44,MATCH($A690,'Annotator B'!$A$5:$A$44,0))&amp;"","")</f>
        <v/>
      </c>
      <c r="G690" s="6">
        <f>IF(AND(E690="",F690=""),"",IF(E690=F690,"agree","DIFFER"))</f>
        <v/>
      </c>
      <c r="H690" s="7" t="n"/>
      <c r="I690" s="6">
        <f>IF(H690&lt;&gt;"",H690,IF(G690="agree",E690,""))</f>
        <v/>
      </c>
    </row>
    <row r="691">
      <c r="A691" s="6" t="inlineStr">
        <is>
          <t>L35</t>
        </is>
      </c>
      <c r="B691" s="6" t="inlineStr">
        <is>
          <t>infeasible</t>
        </is>
      </c>
      <c r="C691" s="6" t="inlineStr">
        <is>
          <t>Value — Problem frequency</t>
        </is>
      </c>
      <c r="D691" s="6" t="inlineStr"/>
      <c r="E691" s="6">
        <f>IFERROR(INDEX('Annotator A'!$L$5:$L$44,MATCH($A691,'Annotator A'!$A$5:$A$44,0))&amp;"","")</f>
        <v/>
      </c>
      <c r="F691" s="6">
        <f>IFERROR(INDEX('Annotator B'!$L$5:$L$44,MATCH($A691,'Annotator B'!$A$5:$A$44,0))&amp;"","")</f>
        <v/>
      </c>
      <c r="G691" s="6">
        <f>IF(AND(E691="",F691=""),"",IF(E691=F691,"agree","DIFFER"))</f>
        <v/>
      </c>
      <c r="H691" s="7" t="n"/>
      <c r="I691" s="6">
        <f>IF(H691&lt;&gt;"",H691,IF(G691="agree",E691,""))</f>
        <v/>
      </c>
    </row>
    <row r="692">
      <c r="A692" s="6" t="inlineStr">
        <is>
          <t>L35</t>
        </is>
      </c>
      <c r="B692" s="6" t="inlineStr">
        <is>
          <t>infeasible</t>
        </is>
      </c>
      <c r="C692" s="6" t="inlineStr">
        <is>
          <t>Feasibility status</t>
        </is>
      </c>
      <c r="D692" s="6" t="inlineStr">
        <is>
          <t>NOT_CURRENTLY_FEASIBLE</t>
        </is>
      </c>
      <c r="E692" s="6">
        <f>IFERROR(INDEX('Annotator A'!$M$5:$M$44,MATCH($A692,'Annotator A'!$A$5:$A$44,0))&amp;"","")</f>
        <v/>
      </c>
      <c r="F692" s="6">
        <f>IFERROR(INDEX('Annotator B'!$M$5:$M$44,MATCH($A692,'Annotator B'!$A$5:$A$44,0))&amp;"","")</f>
        <v/>
      </c>
      <c r="G692" s="6">
        <f>IF(AND(E692="",F692=""),"",IF(E692=F692,"agree","DIFFER"))</f>
        <v/>
      </c>
      <c r="H692" s="7" t="n"/>
      <c r="I692" s="6">
        <f>IF(H692&lt;&gt;"",H692,IF(G692="agree",E692,""))</f>
        <v/>
      </c>
    </row>
    <row r="693">
      <c r="A693" s="6" t="inlineStr">
        <is>
          <t>L35</t>
        </is>
      </c>
      <c r="B693" s="6" t="inlineStr">
        <is>
          <t>infeasible</t>
        </is>
      </c>
      <c r="C693" s="6" t="inlineStr">
        <is>
          <t>Risk — Technical</t>
        </is>
      </c>
      <c r="D693" s="6" t="inlineStr"/>
      <c r="E693" s="6">
        <f>IFERROR(INDEX('Annotator A'!$N$5:$N$44,MATCH($A693,'Annotator A'!$A$5:$A$44,0))&amp;"","")</f>
        <v/>
      </c>
      <c r="F693" s="6">
        <f>IFERROR(INDEX('Annotator B'!$N$5:$N$44,MATCH($A693,'Annotator B'!$A$5:$A$44,0))&amp;"","")</f>
        <v/>
      </c>
      <c r="G693" s="6">
        <f>IF(AND(E693="",F693=""),"",IF(E693=F693,"agree","DIFFER"))</f>
        <v/>
      </c>
      <c r="H693" s="7" t="n"/>
      <c r="I693" s="6">
        <f>IF(H693&lt;&gt;"",H693,IF(G693="agree",E693,""))</f>
        <v/>
      </c>
    </row>
    <row r="694">
      <c r="A694" s="6" t="inlineStr">
        <is>
          <t>L35</t>
        </is>
      </c>
      <c r="B694" s="6" t="inlineStr">
        <is>
          <t>infeasible</t>
        </is>
      </c>
      <c r="C694" s="6" t="inlineStr">
        <is>
          <t>Risk — Security</t>
        </is>
      </c>
      <c r="D694" s="6" t="inlineStr"/>
      <c r="E694" s="6">
        <f>IFERROR(INDEX('Annotator A'!$O$5:$O$44,MATCH($A694,'Annotator A'!$A$5:$A$44,0))&amp;"","")</f>
        <v/>
      </c>
      <c r="F694" s="6">
        <f>IFERROR(INDEX('Annotator B'!$O$5:$O$44,MATCH($A694,'Annotator B'!$A$5:$A$44,0))&amp;"","")</f>
        <v/>
      </c>
      <c r="G694" s="6">
        <f>IF(AND(E694="",F694=""),"",IF(E694=F694,"agree","DIFFER"))</f>
        <v/>
      </c>
      <c r="H694" s="7" t="n"/>
      <c r="I694" s="6">
        <f>IF(H694&lt;&gt;"",H694,IF(G694="agree",E694,""))</f>
        <v/>
      </c>
    </row>
    <row r="695">
      <c r="A695" s="6" t="inlineStr">
        <is>
          <t>L35</t>
        </is>
      </c>
      <c r="B695" s="6" t="inlineStr">
        <is>
          <t>infeasible</t>
        </is>
      </c>
      <c r="C695" s="6" t="inlineStr">
        <is>
          <t>Risk — Privacy</t>
        </is>
      </c>
      <c r="D695" s="6" t="inlineStr">
        <is>
          <t>Yes</t>
        </is>
      </c>
      <c r="E695" s="6">
        <f>IFERROR(INDEX('Annotator A'!$P$5:$P$44,MATCH($A695,'Annotator A'!$A$5:$A$44,0))&amp;"","")</f>
        <v/>
      </c>
      <c r="F695" s="6">
        <f>IFERROR(INDEX('Annotator B'!$P$5:$P$44,MATCH($A695,'Annotator B'!$A$5:$A$44,0))&amp;"","")</f>
        <v/>
      </c>
      <c r="G695" s="6">
        <f>IF(AND(E695="",F695=""),"",IF(E695=F695,"agree","DIFFER"))</f>
        <v/>
      </c>
      <c r="H695" s="7" t="n"/>
      <c r="I695" s="6">
        <f>IF(H695&lt;&gt;"",H695,IF(G695="agree",E695,""))</f>
        <v/>
      </c>
    </row>
    <row r="696">
      <c r="A696" s="6" t="inlineStr">
        <is>
          <t>L35</t>
        </is>
      </c>
      <c r="B696" s="6" t="inlineStr">
        <is>
          <t>infeasible</t>
        </is>
      </c>
      <c r="C696" s="6" t="inlineStr">
        <is>
          <t>Risk — Compliance</t>
        </is>
      </c>
      <c r="D696" s="6" t="inlineStr">
        <is>
          <t>Yes</t>
        </is>
      </c>
      <c r="E696" s="6">
        <f>IFERROR(INDEX('Annotator A'!$Q$5:$Q$44,MATCH($A696,'Annotator A'!$A$5:$A$44,0))&amp;"","")</f>
        <v/>
      </c>
      <c r="F696" s="6">
        <f>IFERROR(INDEX('Annotator B'!$Q$5:$Q$44,MATCH($A696,'Annotator B'!$A$5:$A$44,0))&amp;"","")</f>
        <v/>
      </c>
      <c r="G696" s="6">
        <f>IF(AND(E696="",F696=""),"",IF(E696=F696,"agree","DIFFER"))</f>
        <v/>
      </c>
      <c r="H696" s="7" t="n"/>
      <c r="I696" s="6">
        <f>IF(H696&lt;&gt;"",H696,IF(G696="agree",E696,""))</f>
        <v/>
      </c>
    </row>
    <row r="697">
      <c r="A697" s="6" t="inlineStr">
        <is>
          <t>L35</t>
        </is>
      </c>
      <c r="B697" s="6" t="inlineStr">
        <is>
          <t>infeasible</t>
        </is>
      </c>
      <c r="C697" s="6" t="inlineStr">
        <is>
          <t>Risk — Financial</t>
        </is>
      </c>
      <c r="D697" s="6" t="inlineStr"/>
      <c r="E697" s="6">
        <f>IFERROR(INDEX('Annotator A'!$R$5:$R$44,MATCH($A697,'Annotator A'!$A$5:$A$44,0))&amp;"","")</f>
        <v/>
      </c>
      <c r="F697" s="6">
        <f>IFERROR(INDEX('Annotator B'!$R$5:$R$44,MATCH($A697,'Annotator B'!$A$5:$A$44,0))&amp;"","")</f>
        <v/>
      </c>
      <c r="G697" s="6">
        <f>IF(AND(E697="",F697=""),"",IF(E697=F697,"agree","DIFFER"))</f>
        <v/>
      </c>
      <c r="H697" s="7" t="n"/>
      <c r="I697" s="6">
        <f>IF(H697&lt;&gt;"",H697,IF(G697="agree",E697,""))</f>
        <v/>
      </c>
    </row>
    <row r="698">
      <c r="A698" s="6" t="inlineStr">
        <is>
          <t>L35</t>
        </is>
      </c>
      <c r="B698" s="6" t="inlineStr">
        <is>
          <t>infeasible</t>
        </is>
      </c>
      <c r="C698" s="6" t="inlineStr">
        <is>
          <t>Risk — Operational</t>
        </is>
      </c>
      <c r="D698" s="6" t="inlineStr"/>
      <c r="E698" s="6">
        <f>IFERROR(INDEX('Annotator A'!$S$5:$S$44,MATCH($A698,'Annotator A'!$A$5:$A$44,0))&amp;"","")</f>
        <v/>
      </c>
      <c r="F698" s="6">
        <f>IFERROR(INDEX('Annotator B'!$S$5:$S$44,MATCH($A698,'Annotator B'!$A$5:$A$44,0))&amp;"","")</f>
        <v/>
      </c>
      <c r="G698" s="6">
        <f>IF(AND(E698="",F698=""),"",IF(E698=F698,"agree","DIFFER"))</f>
        <v/>
      </c>
      <c r="H698" s="7" t="n"/>
      <c r="I698" s="6">
        <f>IF(H698&lt;&gt;"",H698,IF(G698="agree",E698,""))</f>
        <v/>
      </c>
    </row>
    <row r="699">
      <c r="A699" s="6" t="inlineStr">
        <is>
          <t>L35</t>
        </is>
      </c>
      <c r="B699" s="6" t="inlineStr">
        <is>
          <t>infeasible</t>
        </is>
      </c>
      <c r="C699" s="6" t="inlineStr">
        <is>
          <t>Risk — Adoption</t>
        </is>
      </c>
      <c r="D699" s="6" t="inlineStr"/>
      <c r="E699" s="6">
        <f>IFERROR(INDEX('Annotator A'!$T$5:$T$44,MATCH($A699,'Annotator A'!$A$5:$A$44,0))&amp;"","")</f>
        <v/>
      </c>
      <c r="F699" s="6">
        <f>IFERROR(INDEX('Annotator B'!$T$5:$T$44,MATCH($A699,'Annotator B'!$A$5:$A$44,0))&amp;"","")</f>
        <v/>
      </c>
      <c r="G699" s="6">
        <f>IF(AND(E699="",F699=""),"",IF(E699=F699,"agree","DIFFER"))</f>
        <v/>
      </c>
      <c r="H699" s="7" t="n"/>
      <c r="I699" s="6">
        <f>IF(H699&lt;&gt;"",H699,IF(G699="agree",E699,""))</f>
        <v/>
      </c>
    </row>
    <row r="700">
      <c r="A700" s="6" t="inlineStr">
        <is>
          <t>L35</t>
        </is>
      </c>
      <c r="B700" s="6" t="inlineStr">
        <is>
          <t>infeasible</t>
        </is>
      </c>
      <c r="C700" s="6" t="inlineStr">
        <is>
          <t>Risk — Data</t>
        </is>
      </c>
      <c r="D700" s="6" t="inlineStr"/>
      <c r="E700" s="6">
        <f>IFERROR(INDEX('Annotator A'!$U$5:$U$44,MATCH($A700,'Annotator A'!$A$5:$A$44,0))&amp;"","")</f>
        <v/>
      </c>
      <c r="F700" s="6">
        <f>IFERROR(INDEX('Annotator B'!$U$5:$U$44,MATCH($A700,'Annotator B'!$A$5:$A$44,0))&amp;"","")</f>
        <v/>
      </c>
      <c r="G700" s="6">
        <f>IF(AND(E700="",F700=""),"",IF(E700=F700,"agree","DIFFER"))</f>
        <v/>
      </c>
      <c r="H700" s="7" t="n"/>
      <c r="I700" s="6">
        <f>IF(H700&lt;&gt;"",H700,IF(G700="agree",E700,""))</f>
        <v/>
      </c>
    </row>
    <row r="701">
      <c r="A701" s="6" t="inlineStr">
        <is>
          <t>L35</t>
        </is>
      </c>
      <c r="B701" s="6" t="inlineStr">
        <is>
          <t>infeasible</t>
        </is>
      </c>
      <c r="C701" s="6" t="inlineStr">
        <is>
          <t>Risk — Vendor</t>
        </is>
      </c>
      <c r="D701" s="6" t="inlineStr"/>
      <c r="E701" s="6">
        <f>IFERROR(INDEX('Annotator A'!$V$5:$V$44,MATCH($A701,'Annotator A'!$A$5:$A$44,0))&amp;"","")</f>
        <v/>
      </c>
      <c r="F701" s="6">
        <f>IFERROR(INDEX('Annotator B'!$V$5:$V$44,MATCH($A701,'Annotator B'!$A$5:$A$44,0))&amp;"","")</f>
        <v/>
      </c>
      <c r="G701" s="6">
        <f>IF(AND(E701="",F701=""),"",IF(E701=F701,"agree","DIFFER"))</f>
        <v/>
      </c>
      <c r="H701" s="7" t="n"/>
      <c r="I701" s="6">
        <f>IF(H701&lt;&gt;"",H701,IF(G701="agree",E701,""))</f>
        <v/>
      </c>
    </row>
    <row r="702">
      <c r="A702" s="6" t="inlineStr">
        <is>
          <t>L36</t>
        </is>
      </c>
      <c r="B702" s="6" t="inlineStr">
        <is>
          <t>strong</t>
        </is>
      </c>
      <c r="C702" s="6" t="inlineStr">
        <is>
          <t>Use cases</t>
        </is>
      </c>
      <c r="D702" s="6" t="inlineStr">
        <is>
          <t>match invoice against PO and goods-received note
flag only genuine mismatches for human review</t>
        </is>
      </c>
      <c r="E702" s="6">
        <f>IFERROR(INDEX('Annotator A'!$C$5:$C$44,MATCH($A702,'Annotator A'!$A$5:$A$44,0))&amp;"","")</f>
        <v/>
      </c>
      <c r="F702" s="6">
        <f>IFERROR(INDEX('Annotator B'!$C$5:$C$44,MATCH($A702,'Annotator B'!$A$5:$A$44,0))&amp;"","")</f>
        <v/>
      </c>
      <c r="G702" s="6" t="inlineStr">
        <is>
          <t>read both</t>
        </is>
      </c>
      <c r="H702" s="7" t="n"/>
      <c r="I702" s="6">
        <f>IF(H702&lt;&gt;"",H702,"")</f>
        <v/>
      </c>
    </row>
    <row r="703">
      <c r="A703" s="6" t="inlineStr">
        <is>
          <t>L36</t>
        </is>
      </c>
      <c r="B703" s="6" t="inlineStr">
        <is>
          <t>strong</t>
        </is>
      </c>
      <c r="C703" s="6" t="inlineStr">
        <is>
          <t>Value — Business impact</t>
        </is>
      </c>
      <c r="D703" s="6" t="inlineStr"/>
      <c r="E703" s="6">
        <f>IFERROR(INDEX('Annotator A'!$D$5:$D$44,MATCH($A703,'Annotator A'!$A$5:$A$44,0))&amp;"","")</f>
        <v/>
      </c>
      <c r="F703" s="6">
        <f>IFERROR(INDEX('Annotator B'!$D$5:$D$44,MATCH($A703,'Annotator B'!$A$5:$A$44,0))&amp;"","")</f>
        <v/>
      </c>
      <c r="G703" s="6">
        <f>IF(AND(E703="",F703=""),"",IF(E703=F703,"agree","DIFFER"))</f>
        <v/>
      </c>
      <c r="H703" s="7" t="n"/>
      <c r="I703" s="6">
        <f>IF(H703&lt;&gt;"",H703,IF(G703="agree",E703,""))</f>
        <v/>
      </c>
    </row>
    <row r="704">
      <c r="A704" s="6" t="inlineStr">
        <is>
          <t>L36</t>
        </is>
      </c>
      <c r="B704" s="6" t="inlineStr">
        <is>
          <t>strong</t>
        </is>
      </c>
      <c r="C704" s="6" t="inlineStr">
        <is>
          <t>Value — Productivity</t>
        </is>
      </c>
      <c r="D704" s="6" t="inlineStr">
        <is>
          <t>High</t>
        </is>
      </c>
      <c r="E704" s="6">
        <f>IFERROR(INDEX('Annotator A'!$E$5:$E$44,MATCH($A704,'Annotator A'!$A$5:$A$44,0))&amp;"","")</f>
        <v/>
      </c>
      <c r="F704" s="6">
        <f>IFERROR(INDEX('Annotator B'!$E$5:$E$44,MATCH($A704,'Annotator B'!$A$5:$A$44,0))&amp;"","")</f>
        <v/>
      </c>
      <c r="G704" s="6">
        <f>IF(AND(E704="",F704=""),"",IF(E704=F704,"agree","DIFFER"))</f>
        <v/>
      </c>
      <c r="H704" s="7" t="n"/>
      <c r="I704" s="6">
        <f>IF(H704&lt;&gt;"",H704,IF(G704="agree",E704,""))</f>
        <v/>
      </c>
    </row>
    <row r="705">
      <c r="A705" s="6" t="inlineStr">
        <is>
          <t>L36</t>
        </is>
      </c>
      <c r="B705" s="6" t="inlineStr">
        <is>
          <t>strong</t>
        </is>
      </c>
      <c r="C705" s="6" t="inlineStr">
        <is>
          <t>Value — Cost reduction</t>
        </is>
      </c>
      <c r="D705" s="6" t="inlineStr"/>
      <c r="E705" s="6">
        <f>IFERROR(INDEX('Annotator A'!$F$5:$F$44,MATCH($A705,'Annotator A'!$A$5:$A$44,0))&amp;"","")</f>
        <v/>
      </c>
      <c r="F705" s="6">
        <f>IFERROR(INDEX('Annotator B'!$F$5:$F$44,MATCH($A705,'Annotator B'!$A$5:$A$44,0))&amp;"","")</f>
        <v/>
      </c>
      <c r="G705" s="6">
        <f>IF(AND(E705="",F705=""),"",IF(E705=F705,"agree","DIFFER"))</f>
        <v/>
      </c>
      <c r="H705" s="7" t="n"/>
      <c r="I705" s="6">
        <f>IF(H705&lt;&gt;"",H705,IF(G705="agree",E705,""))</f>
        <v/>
      </c>
    </row>
    <row r="706">
      <c r="A706" s="6" t="inlineStr">
        <is>
          <t>L36</t>
        </is>
      </c>
      <c r="B706" s="6" t="inlineStr">
        <is>
          <t>strong</t>
        </is>
      </c>
      <c r="C706" s="6" t="inlineStr">
        <is>
          <t>Value — Revenue</t>
        </is>
      </c>
      <c r="D706" s="6" t="inlineStr"/>
      <c r="E706" s="6">
        <f>IFERROR(INDEX('Annotator A'!$G$5:$G$44,MATCH($A706,'Annotator A'!$A$5:$A$44,0))&amp;"","")</f>
        <v/>
      </c>
      <c r="F706" s="6">
        <f>IFERROR(INDEX('Annotator B'!$G$5:$G$44,MATCH($A706,'Annotator B'!$A$5:$A$44,0))&amp;"","")</f>
        <v/>
      </c>
      <c r="G706" s="6">
        <f>IF(AND(E706="",F706=""),"",IF(E706=F706,"agree","DIFFER"))</f>
        <v/>
      </c>
      <c r="H706" s="7" t="n"/>
      <c r="I706" s="6">
        <f>IF(H706&lt;&gt;"",H706,IF(G706="agree",E706,""))</f>
        <v/>
      </c>
    </row>
    <row r="707">
      <c r="A707" s="6" t="inlineStr">
        <is>
          <t>L36</t>
        </is>
      </c>
      <c r="B707" s="6" t="inlineStr">
        <is>
          <t>strong</t>
        </is>
      </c>
      <c r="C707" s="6" t="inlineStr">
        <is>
          <t>Value — Employee experience</t>
        </is>
      </c>
      <c r="D707" s="6" t="inlineStr"/>
      <c r="E707" s="6">
        <f>IFERROR(INDEX('Annotator A'!$H$5:$H$44,MATCH($A707,'Annotator A'!$A$5:$A$44,0))&amp;"","")</f>
        <v/>
      </c>
      <c r="F707" s="6">
        <f>IFERROR(INDEX('Annotator B'!$H$5:$H$44,MATCH($A707,'Annotator B'!$A$5:$A$44,0))&amp;"","")</f>
        <v/>
      </c>
      <c r="G707" s="6">
        <f>IF(AND(E707="",F707=""),"",IF(E707=F707,"agree","DIFFER"))</f>
        <v/>
      </c>
      <c r="H707" s="7" t="n"/>
      <c r="I707" s="6">
        <f>IF(H707&lt;&gt;"",H707,IF(G707="agree",E707,""))</f>
        <v/>
      </c>
    </row>
    <row r="708">
      <c r="A708" s="6" t="inlineStr">
        <is>
          <t>L36</t>
        </is>
      </c>
      <c r="B708" s="6" t="inlineStr">
        <is>
          <t>strong</t>
        </is>
      </c>
      <c r="C708" s="6" t="inlineStr">
        <is>
          <t>Value — Customer impact</t>
        </is>
      </c>
      <c r="D708" s="6" t="inlineStr"/>
      <c r="E708" s="6">
        <f>IFERROR(INDEX('Annotator A'!$I$5:$I$44,MATCH($A708,'Annotator A'!$A$5:$A$44,0))&amp;"","")</f>
        <v/>
      </c>
      <c r="F708" s="6">
        <f>IFERROR(INDEX('Annotator B'!$I$5:$I$44,MATCH($A708,'Annotator B'!$A$5:$A$44,0))&amp;"","")</f>
        <v/>
      </c>
      <c r="G708" s="6">
        <f>IF(AND(E708="",F708=""),"",IF(E708=F708,"agree","DIFFER"))</f>
        <v/>
      </c>
      <c r="H708" s="7" t="n"/>
      <c r="I708" s="6">
        <f>IF(H708&lt;&gt;"",H708,IF(G708="agree",E708,""))</f>
        <v/>
      </c>
    </row>
    <row r="709">
      <c r="A709" s="6" t="inlineStr">
        <is>
          <t>L36</t>
        </is>
      </c>
      <c r="B709" s="6" t="inlineStr">
        <is>
          <t>strong</t>
        </is>
      </c>
      <c r="C709" s="6" t="inlineStr">
        <is>
          <t>Value — Operational</t>
        </is>
      </c>
      <c r="D709" s="6" t="inlineStr"/>
      <c r="E709" s="6">
        <f>IFERROR(INDEX('Annotator A'!$J$5:$J$44,MATCH($A709,'Annotator A'!$A$5:$A$44,0))&amp;"","")</f>
        <v/>
      </c>
      <c r="F709" s="6">
        <f>IFERROR(INDEX('Annotator B'!$J$5:$J$44,MATCH($A709,'Annotator B'!$A$5:$A$44,0))&amp;"","")</f>
        <v/>
      </c>
      <c r="G709" s="6">
        <f>IF(AND(E709="",F709=""),"",IF(E709=F709,"agree","DIFFER"))</f>
        <v/>
      </c>
      <c r="H709" s="7" t="n"/>
      <c r="I709" s="6">
        <f>IF(H709&lt;&gt;"",H709,IF(G709="agree",E709,""))</f>
        <v/>
      </c>
    </row>
    <row r="710">
      <c r="A710" s="6" t="inlineStr">
        <is>
          <t>L36</t>
        </is>
      </c>
      <c r="B710" s="6" t="inlineStr">
        <is>
          <t>strong</t>
        </is>
      </c>
      <c r="C710" s="6" t="inlineStr">
        <is>
          <t>Value — Problem severity</t>
        </is>
      </c>
      <c r="D710" s="6" t="inlineStr"/>
      <c r="E710" s="6">
        <f>IFERROR(INDEX('Annotator A'!$K$5:$K$44,MATCH($A710,'Annotator A'!$A$5:$A$44,0))&amp;"","")</f>
        <v/>
      </c>
      <c r="F710" s="6">
        <f>IFERROR(INDEX('Annotator B'!$K$5:$K$44,MATCH($A710,'Annotator B'!$A$5:$A$44,0))&amp;"","")</f>
        <v/>
      </c>
      <c r="G710" s="6">
        <f>IF(AND(E710="",F710=""),"",IF(E710=F710,"agree","DIFFER"))</f>
        <v/>
      </c>
      <c r="H710" s="7" t="n"/>
      <c r="I710" s="6">
        <f>IF(H710&lt;&gt;"",H710,IF(G710="agree",E710,""))</f>
        <v/>
      </c>
    </row>
    <row r="711">
      <c r="A711" s="6" t="inlineStr">
        <is>
          <t>L36</t>
        </is>
      </c>
      <c r="B711" s="6" t="inlineStr">
        <is>
          <t>strong</t>
        </is>
      </c>
      <c r="C711" s="6" t="inlineStr">
        <is>
          <t>Value — Problem frequency</t>
        </is>
      </c>
      <c r="D711" s="6" t="inlineStr">
        <is>
          <t>High</t>
        </is>
      </c>
      <c r="E711" s="6">
        <f>IFERROR(INDEX('Annotator A'!$L$5:$L$44,MATCH($A711,'Annotator A'!$A$5:$A$44,0))&amp;"","")</f>
        <v/>
      </c>
      <c r="F711" s="6">
        <f>IFERROR(INDEX('Annotator B'!$L$5:$L$44,MATCH($A711,'Annotator B'!$A$5:$A$44,0))&amp;"","")</f>
        <v/>
      </c>
      <c r="G711" s="6">
        <f>IF(AND(E711="",F711=""),"",IF(E711=F711,"agree","DIFFER"))</f>
        <v/>
      </c>
      <c r="H711" s="7" t="n"/>
      <c r="I711" s="6">
        <f>IF(H711&lt;&gt;"",H711,IF(G711="agree",E711,""))</f>
        <v/>
      </c>
    </row>
    <row r="712">
      <c r="A712" s="6" t="inlineStr">
        <is>
          <t>L36</t>
        </is>
      </c>
      <c r="B712" s="6" t="inlineStr">
        <is>
          <t>strong</t>
        </is>
      </c>
      <c r="C712" s="6" t="inlineStr">
        <is>
          <t>Feasibility status</t>
        </is>
      </c>
      <c r="D712" s="6" t="inlineStr">
        <is>
          <t>HIGHLY_FEASIBLE</t>
        </is>
      </c>
      <c r="E712" s="6">
        <f>IFERROR(INDEX('Annotator A'!$M$5:$M$44,MATCH($A712,'Annotator A'!$A$5:$A$44,0))&amp;"","")</f>
        <v/>
      </c>
      <c r="F712" s="6">
        <f>IFERROR(INDEX('Annotator B'!$M$5:$M$44,MATCH($A712,'Annotator B'!$A$5:$A$44,0))&amp;"","")</f>
        <v/>
      </c>
      <c r="G712" s="6">
        <f>IF(AND(E712="",F712=""),"",IF(E712=F712,"agree","DIFFER"))</f>
        <v/>
      </c>
      <c r="H712" s="7" t="n"/>
      <c r="I712" s="6">
        <f>IF(H712&lt;&gt;"",H712,IF(G712="agree",E712,""))</f>
        <v/>
      </c>
    </row>
    <row r="713">
      <c r="A713" s="6" t="inlineStr">
        <is>
          <t>L36</t>
        </is>
      </c>
      <c r="B713" s="6" t="inlineStr">
        <is>
          <t>strong</t>
        </is>
      </c>
      <c r="C713" s="6" t="inlineStr">
        <is>
          <t>Risk — Technical</t>
        </is>
      </c>
      <c r="D713" s="6" t="inlineStr"/>
      <c r="E713" s="6">
        <f>IFERROR(INDEX('Annotator A'!$N$5:$N$44,MATCH($A713,'Annotator A'!$A$5:$A$44,0))&amp;"","")</f>
        <v/>
      </c>
      <c r="F713" s="6">
        <f>IFERROR(INDEX('Annotator B'!$N$5:$N$44,MATCH($A713,'Annotator B'!$A$5:$A$44,0))&amp;"","")</f>
        <v/>
      </c>
      <c r="G713" s="6">
        <f>IF(AND(E713="",F713=""),"",IF(E713=F713,"agree","DIFFER"))</f>
        <v/>
      </c>
      <c r="H713" s="7" t="n"/>
      <c r="I713" s="6">
        <f>IF(H713&lt;&gt;"",H713,IF(G713="agree",E713,""))</f>
        <v/>
      </c>
    </row>
    <row r="714">
      <c r="A714" s="6" t="inlineStr">
        <is>
          <t>L36</t>
        </is>
      </c>
      <c r="B714" s="6" t="inlineStr">
        <is>
          <t>strong</t>
        </is>
      </c>
      <c r="C714" s="6" t="inlineStr">
        <is>
          <t>Risk — Security</t>
        </is>
      </c>
      <c r="D714" s="6" t="inlineStr"/>
      <c r="E714" s="6">
        <f>IFERROR(INDEX('Annotator A'!$O$5:$O$44,MATCH($A714,'Annotator A'!$A$5:$A$44,0))&amp;"","")</f>
        <v/>
      </c>
      <c r="F714" s="6">
        <f>IFERROR(INDEX('Annotator B'!$O$5:$O$44,MATCH($A714,'Annotator B'!$A$5:$A$44,0))&amp;"","")</f>
        <v/>
      </c>
      <c r="G714" s="6">
        <f>IF(AND(E714="",F714=""),"",IF(E714=F714,"agree","DIFFER"))</f>
        <v/>
      </c>
      <c r="H714" s="7" t="n"/>
      <c r="I714" s="6">
        <f>IF(H714&lt;&gt;"",H714,IF(G714="agree",E714,""))</f>
        <v/>
      </c>
    </row>
    <row r="715">
      <c r="A715" s="6" t="inlineStr">
        <is>
          <t>L36</t>
        </is>
      </c>
      <c r="B715" s="6" t="inlineStr">
        <is>
          <t>strong</t>
        </is>
      </c>
      <c r="C715" s="6" t="inlineStr">
        <is>
          <t>Risk — Privacy</t>
        </is>
      </c>
      <c r="D715" s="6" t="inlineStr"/>
      <c r="E715" s="6">
        <f>IFERROR(INDEX('Annotator A'!$P$5:$P$44,MATCH($A715,'Annotator A'!$A$5:$A$44,0))&amp;"","")</f>
        <v/>
      </c>
      <c r="F715" s="6">
        <f>IFERROR(INDEX('Annotator B'!$P$5:$P$44,MATCH($A715,'Annotator B'!$A$5:$A$44,0))&amp;"","")</f>
        <v/>
      </c>
      <c r="G715" s="6">
        <f>IF(AND(E715="",F715=""),"",IF(E715=F715,"agree","DIFFER"))</f>
        <v/>
      </c>
      <c r="H715" s="7" t="n"/>
      <c r="I715" s="6">
        <f>IF(H715&lt;&gt;"",H715,IF(G715="agree",E715,""))</f>
        <v/>
      </c>
    </row>
    <row r="716">
      <c r="A716" s="6" t="inlineStr">
        <is>
          <t>L36</t>
        </is>
      </c>
      <c r="B716" s="6" t="inlineStr">
        <is>
          <t>strong</t>
        </is>
      </c>
      <c r="C716" s="6" t="inlineStr">
        <is>
          <t>Risk — Compliance</t>
        </is>
      </c>
      <c r="D716" s="6" t="inlineStr"/>
      <c r="E716" s="6">
        <f>IFERROR(INDEX('Annotator A'!$Q$5:$Q$44,MATCH($A716,'Annotator A'!$A$5:$A$44,0))&amp;"","")</f>
        <v/>
      </c>
      <c r="F716" s="6">
        <f>IFERROR(INDEX('Annotator B'!$Q$5:$Q$44,MATCH($A716,'Annotator B'!$A$5:$A$44,0))&amp;"","")</f>
        <v/>
      </c>
      <c r="G716" s="6">
        <f>IF(AND(E716="",F716=""),"",IF(E716=F716,"agree","DIFFER"))</f>
        <v/>
      </c>
      <c r="H716" s="7" t="n"/>
      <c r="I716" s="6">
        <f>IF(H716&lt;&gt;"",H716,IF(G716="agree",E716,""))</f>
        <v/>
      </c>
    </row>
    <row r="717">
      <c r="A717" s="6" t="inlineStr">
        <is>
          <t>L36</t>
        </is>
      </c>
      <c r="B717" s="6" t="inlineStr">
        <is>
          <t>strong</t>
        </is>
      </c>
      <c r="C717" s="6" t="inlineStr">
        <is>
          <t>Risk — Financial</t>
        </is>
      </c>
      <c r="D717" s="6" t="inlineStr">
        <is>
          <t>Yes</t>
        </is>
      </c>
      <c r="E717" s="6">
        <f>IFERROR(INDEX('Annotator A'!$R$5:$R$44,MATCH($A717,'Annotator A'!$A$5:$A$44,0))&amp;"","")</f>
        <v/>
      </c>
      <c r="F717" s="6">
        <f>IFERROR(INDEX('Annotator B'!$R$5:$R$44,MATCH($A717,'Annotator B'!$A$5:$A$44,0))&amp;"","")</f>
        <v/>
      </c>
      <c r="G717" s="6">
        <f>IF(AND(E717="",F717=""),"",IF(E717=F717,"agree","DIFFER"))</f>
        <v/>
      </c>
      <c r="H717" s="7" t="n"/>
      <c r="I717" s="6">
        <f>IF(H717&lt;&gt;"",H717,IF(G717="agree",E717,""))</f>
        <v/>
      </c>
    </row>
    <row r="718">
      <c r="A718" s="6" t="inlineStr">
        <is>
          <t>L36</t>
        </is>
      </c>
      <c r="B718" s="6" t="inlineStr">
        <is>
          <t>strong</t>
        </is>
      </c>
      <c r="C718" s="6" t="inlineStr">
        <is>
          <t>Risk — Operational</t>
        </is>
      </c>
      <c r="D718" s="6" t="inlineStr"/>
      <c r="E718" s="6">
        <f>IFERROR(INDEX('Annotator A'!$S$5:$S$44,MATCH($A718,'Annotator A'!$A$5:$A$44,0))&amp;"","")</f>
        <v/>
      </c>
      <c r="F718" s="6">
        <f>IFERROR(INDEX('Annotator B'!$S$5:$S$44,MATCH($A718,'Annotator B'!$A$5:$A$44,0))&amp;"","")</f>
        <v/>
      </c>
      <c r="G718" s="6">
        <f>IF(AND(E718="",F718=""),"",IF(E718=F718,"agree","DIFFER"))</f>
        <v/>
      </c>
      <c r="H718" s="7" t="n"/>
      <c r="I718" s="6">
        <f>IF(H718&lt;&gt;"",H718,IF(G718="agree",E718,""))</f>
        <v/>
      </c>
    </row>
    <row r="719">
      <c r="A719" s="6" t="inlineStr">
        <is>
          <t>L36</t>
        </is>
      </c>
      <c r="B719" s="6" t="inlineStr">
        <is>
          <t>strong</t>
        </is>
      </c>
      <c r="C719" s="6" t="inlineStr">
        <is>
          <t>Risk — Adoption</t>
        </is>
      </c>
      <c r="D719" s="6" t="inlineStr"/>
      <c r="E719" s="6">
        <f>IFERROR(INDEX('Annotator A'!$T$5:$T$44,MATCH($A719,'Annotator A'!$A$5:$A$44,0))&amp;"","")</f>
        <v/>
      </c>
      <c r="F719" s="6">
        <f>IFERROR(INDEX('Annotator B'!$T$5:$T$44,MATCH($A719,'Annotator B'!$A$5:$A$44,0))&amp;"","")</f>
        <v/>
      </c>
      <c r="G719" s="6">
        <f>IF(AND(E719="",F719=""),"",IF(E719=F719,"agree","DIFFER"))</f>
        <v/>
      </c>
      <c r="H719" s="7" t="n"/>
      <c r="I719" s="6">
        <f>IF(H719&lt;&gt;"",H719,IF(G719="agree",E719,""))</f>
        <v/>
      </c>
    </row>
    <row r="720">
      <c r="A720" s="6" t="inlineStr">
        <is>
          <t>L36</t>
        </is>
      </c>
      <c r="B720" s="6" t="inlineStr">
        <is>
          <t>strong</t>
        </is>
      </c>
      <c r="C720" s="6" t="inlineStr">
        <is>
          <t>Risk — Data</t>
        </is>
      </c>
      <c r="D720" s="6" t="inlineStr"/>
      <c r="E720" s="6">
        <f>IFERROR(INDEX('Annotator A'!$U$5:$U$44,MATCH($A720,'Annotator A'!$A$5:$A$44,0))&amp;"","")</f>
        <v/>
      </c>
      <c r="F720" s="6">
        <f>IFERROR(INDEX('Annotator B'!$U$5:$U$44,MATCH($A720,'Annotator B'!$A$5:$A$44,0))&amp;"","")</f>
        <v/>
      </c>
      <c r="G720" s="6">
        <f>IF(AND(E720="",F720=""),"",IF(E720=F720,"agree","DIFFER"))</f>
        <v/>
      </c>
      <c r="H720" s="7" t="n"/>
      <c r="I720" s="6">
        <f>IF(H720&lt;&gt;"",H720,IF(G720="agree",E720,""))</f>
        <v/>
      </c>
    </row>
    <row r="721">
      <c r="A721" s="6" t="inlineStr">
        <is>
          <t>L36</t>
        </is>
      </c>
      <c r="B721" s="6" t="inlineStr">
        <is>
          <t>strong</t>
        </is>
      </c>
      <c r="C721" s="6" t="inlineStr">
        <is>
          <t>Risk — Vendor</t>
        </is>
      </c>
      <c r="D721" s="6" t="inlineStr"/>
      <c r="E721" s="6">
        <f>IFERROR(INDEX('Annotator A'!$V$5:$V$44,MATCH($A721,'Annotator A'!$A$5:$A$44,0))&amp;"","")</f>
        <v/>
      </c>
      <c r="F721" s="6">
        <f>IFERROR(INDEX('Annotator B'!$V$5:$V$44,MATCH($A721,'Annotator B'!$A$5:$A$44,0))&amp;"","")</f>
        <v/>
      </c>
      <c r="G721" s="6">
        <f>IF(AND(E721="",F721=""),"",IF(E721=F721,"agree","DIFFER"))</f>
        <v/>
      </c>
      <c r="H721" s="7" t="n"/>
      <c r="I721" s="6">
        <f>IF(H721&lt;&gt;"",H721,IF(G721="agree",E721,""))</f>
        <v/>
      </c>
    </row>
    <row r="722">
      <c r="A722" s="6" t="inlineStr">
        <is>
          <t>L37</t>
        </is>
      </c>
      <c r="B722" s="6" t="inlineStr">
        <is>
          <t>near-duplicate</t>
        </is>
      </c>
      <c r="C722" s="6" t="inlineStr">
        <is>
          <t>Use cases</t>
        </is>
      </c>
      <c r="D722" s="6" t="inlineStr">
        <is>
          <t>detect duplicate customer records by name, email or phone
merge duplicates into one record</t>
        </is>
      </c>
      <c r="E722" s="6">
        <f>IFERROR(INDEX('Annotator A'!$C$5:$C$44,MATCH($A722,'Annotator A'!$A$5:$A$44,0))&amp;"","")</f>
        <v/>
      </c>
      <c r="F722" s="6">
        <f>IFERROR(INDEX('Annotator B'!$C$5:$C$44,MATCH($A722,'Annotator B'!$A$5:$A$44,0))&amp;"","")</f>
        <v/>
      </c>
      <c r="G722" s="6" t="inlineStr">
        <is>
          <t>read both</t>
        </is>
      </c>
      <c r="H722" s="7" t="n"/>
      <c r="I722" s="6">
        <f>IF(H722&lt;&gt;"",H722,"")</f>
        <v/>
      </c>
    </row>
    <row r="723">
      <c r="A723" s="6" t="inlineStr">
        <is>
          <t>L37</t>
        </is>
      </c>
      <c r="B723" s="6" t="inlineStr">
        <is>
          <t>near-duplicate</t>
        </is>
      </c>
      <c r="C723" s="6" t="inlineStr">
        <is>
          <t>Value — Business impact</t>
        </is>
      </c>
      <c r="D723" s="6" t="inlineStr"/>
      <c r="E723" s="6">
        <f>IFERROR(INDEX('Annotator A'!$D$5:$D$44,MATCH($A723,'Annotator A'!$A$5:$A$44,0))&amp;"","")</f>
        <v/>
      </c>
      <c r="F723" s="6">
        <f>IFERROR(INDEX('Annotator B'!$D$5:$D$44,MATCH($A723,'Annotator B'!$A$5:$A$44,0))&amp;"","")</f>
        <v/>
      </c>
      <c r="G723" s="6">
        <f>IF(AND(E723="",F723=""),"",IF(E723=F723,"agree","DIFFER"))</f>
        <v/>
      </c>
      <c r="H723" s="7" t="n"/>
      <c r="I723" s="6">
        <f>IF(H723&lt;&gt;"",H723,IF(G723="agree",E723,""))</f>
        <v/>
      </c>
    </row>
    <row r="724">
      <c r="A724" s="6" t="inlineStr">
        <is>
          <t>L37</t>
        </is>
      </c>
      <c r="B724" s="6" t="inlineStr">
        <is>
          <t>near-duplicate</t>
        </is>
      </c>
      <c r="C724" s="6" t="inlineStr">
        <is>
          <t>Value — Productivity</t>
        </is>
      </c>
      <c r="D724" s="6" t="inlineStr"/>
      <c r="E724" s="6">
        <f>IFERROR(INDEX('Annotator A'!$E$5:$E$44,MATCH($A724,'Annotator A'!$A$5:$A$44,0))&amp;"","")</f>
        <v/>
      </c>
      <c r="F724" s="6">
        <f>IFERROR(INDEX('Annotator B'!$E$5:$E$44,MATCH($A724,'Annotator B'!$A$5:$A$44,0))&amp;"","")</f>
        <v/>
      </c>
      <c r="G724" s="6">
        <f>IF(AND(E724="",F724=""),"",IF(E724=F724,"agree","DIFFER"))</f>
        <v/>
      </c>
      <c r="H724" s="7" t="n"/>
      <c r="I724" s="6">
        <f>IF(H724&lt;&gt;"",H724,IF(G724="agree",E724,""))</f>
        <v/>
      </c>
    </row>
    <row r="725">
      <c r="A725" s="6" t="inlineStr">
        <is>
          <t>L37</t>
        </is>
      </c>
      <c r="B725" s="6" t="inlineStr">
        <is>
          <t>near-duplicate</t>
        </is>
      </c>
      <c r="C725" s="6" t="inlineStr">
        <is>
          <t>Value — Cost reduction</t>
        </is>
      </c>
      <c r="D725" s="6" t="inlineStr"/>
      <c r="E725" s="6">
        <f>IFERROR(INDEX('Annotator A'!$F$5:$F$44,MATCH($A725,'Annotator A'!$A$5:$A$44,0))&amp;"","")</f>
        <v/>
      </c>
      <c r="F725" s="6">
        <f>IFERROR(INDEX('Annotator B'!$F$5:$F$44,MATCH($A725,'Annotator B'!$A$5:$A$44,0))&amp;"","")</f>
        <v/>
      </c>
      <c r="G725" s="6">
        <f>IF(AND(E725="",F725=""),"",IF(E725=F725,"agree","DIFFER"))</f>
        <v/>
      </c>
      <c r="H725" s="7" t="n"/>
      <c r="I725" s="6">
        <f>IF(H725&lt;&gt;"",H725,IF(G725="agree",E725,""))</f>
        <v/>
      </c>
    </row>
    <row r="726">
      <c r="A726" s="6" t="inlineStr">
        <is>
          <t>L37</t>
        </is>
      </c>
      <c r="B726" s="6" t="inlineStr">
        <is>
          <t>near-duplicate</t>
        </is>
      </c>
      <c r="C726" s="6" t="inlineStr">
        <is>
          <t>Value — Revenue</t>
        </is>
      </c>
      <c r="D726" s="6" t="inlineStr"/>
      <c r="E726" s="6">
        <f>IFERROR(INDEX('Annotator A'!$G$5:$G$44,MATCH($A726,'Annotator A'!$A$5:$A$44,0))&amp;"","")</f>
        <v/>
      </c>
      <c r="F726" s="6">
        <f>IFERROR(INDEX('Annotator B'!$G$5:$G$44,MATCH($A726,'Annotator B'!$A$5:$A$44,0))&amp;"","")</f>
        <v/>
      </c>
      <c r="G726" s="6">
        <f>IF(AND(E726="",F726=""),"",IF(E726=F726,"agree","DIFFER"))</f>
        <v/>
      </c>
      <c r="H726" s="7" t="n"/>
      <c r="I726" s="6">
        <f>IF(H726&lt;&gt;"",H726,IF(G726="agree",E726,""))</f>
        <v/>
      </c>
    </row>
    <row r="727">
      <c r="A727" s="6" t="inlineStr">
        <is>
          <t>L37</t>
        </is>
      </c>
      <c r="B727" s="6" t="inlineStr">
        <is>
          <t>near-duplicate</t>
        </is>
      </c>
      <c r="C727" s="6" t="inlineStr">
        <is>
          <t>Value — Employee experience</t>
        </is>
      </c>
      <c r="D727" s="6" t="inlineStr"/>
      <c r="E727" s="6">
        <f>IFERROR(INDEX('Annotator A'!$H$5:$H$44,MATCH($A727,'Annotator A'!$A$5:$A$44,0))&amp;"","")</f>
        <v/>
      </c>
      <c r="F727" s="6">
        <f>IFERROR(INDEX('Annotator B'!$H$5:$H$44,MATCH($A727,'Annotator B'!$A$5:$A$44,0))&amp;"","")</f>
        <v/>
      </c>
      <c r="G727" s="6">
        <f>IF(AND(E727="",F727=""),"",IF(E727=F727,"agree","DIFFER"))</f>
        <v/>
      </c>
      <c r="H727" s="7" t="n"/>
      <c r="I727" s="6">
        <f>IF(H727&lt;&gt;"",H727,IF(G727="agree",E727,""))</f>
        <v/>
      </c>
    </row>
    <row r="728">
      <c r="A728" s="6" t="inlineStr">
        <is>
          <t>L37</t>
        </is>
      </c>
      <c r="B728" s="6" t="inlineStr">
        <is>
          <t>near-duplicate</t>
        </is>
      </c>
      <c r="C728" s="6" t="inlineStr">
        <is>
          <t>Value — Customer impact</t>
        </is>
      </c>
      <c r="D728" s="6" t="inlineStr"/>
      <c r="E728" s="6">
        <f>IFERROR(INDEX('Annotator A'!$I$5:$I$44,MATCH($A728,'Annotator A'!$A$5:$A$44,0))&amp;"","")</f>
        <v/>
      </c>
      <c r="F728" s="6">
        <f>IFERROR(INDEX('Annotator B'!$I$5:$I$44,MATCH($A728,'Annotator B'!$A$5:$A$44,0))&amp;"","")</f>
        <v/>
      </c>
      <c r="G728" s="6">
        <f>IF(AND(E728="",F728=""),"",IF(E728=F728,"agree","DIFFER"))</f>
        <v/>
      </c>
      <c r="H728" s="7" t="n"/>
      <c r="I728" s="6">
        <f>IF(H728&lt;&gt;"",H728,IF(G728="agree",E728,""))</f>
        <v/>
      </c>
    </row>
    <row r="729">
      <c r="A729" s="6" t="inlineStr">
        <is>
          <t>L37</t>
        </is>
      </c>
      <c r="B729" s="6" t="inlineStr">
        <is>
          <t>near-duplicate</t>
        </is>
      </c>
      <c r="C729" s="6" t="inlineStr">
        <is>
          <t>Value — Operational</t>
        </is>
      </c>
      <c r="D729" s="6" t="inlineStr">
        <is>
          <t>Moderate</t>
        </is>
      </c>
      <c r="E729" s="6">
        <f>IFERROR(INDEX('Annotator A'!$J$5:$J$44,MATCH($A729,'Annotator A'!$A$5:$A$44,0))&amp;"","")</f>
        <v/>
      </c>
      <c r="F729" s="6">
        <f>IFERROR(INDEX('Annotator B'!$J$5:$J$44,MATCH($A729,'Annotator B'!$A$5:$A$44,0))&amp;"","")</f>
        <v/>
      </c>
      <c r="G729" s="6">
        <f>IF(AND(E729="",F729=""),"",IF(E729=F729,"agree","DIFFER"))</f>
        <v/>
      </c>
      <c r="H729" s="7" t="n"/>
      <c r="I729" s="6">
        <f>IF(H729&lt;&gt;"",H729,IF(G729="agree",E729,""))</f>
        <v/>
      </c>
    </row>
    <row r="730">
      <c r="A730" s="6" t="inlineStr">
        <is>
          <t>L37</t>
        </is>
      </c>
      <c r="B730" s="6" t="inlineStr">
        <is>
          <t>near-duplicate</t>
        </is>
      </c>
      <c r="C730" s="6" t="inlineStr">
        <is>
          <t>Value — Problem severity</t>
        </is>
      </c>
      <c r="D730" s="6" t="inlineStr"/>
      <c r="E730" s="6">
        <f>IFERROR(INDEX('Annotator A'!$K$5:$K$44,MATCH($A730,'Annotator A'!$A$5:$A$44,0))&amp;"","")</f>
        <v/>
      </c>
      <c r="F730" s="6">
        <f>IFERROR(INDEX('Annotator B'!$K$5:$K$44,MATCH($A730,'Annotator B'!$A$5:$A$44,0))&amp;"","")</f>
        <v/>
      </c>
      <c r="G730" s="6">
        <f>IF(AND(E730="",F730=""),"",IF(E730=F730,"agree","DIFFER"))</f>
        <v/>
      </c>
      <c r="H730" s="7" t="n"/>
      <c r="I730" s="6">
        <f>IF(H730&lt;&gt;"",H730,IF(G730="agree",E730,""))</f>
        <v/>
      </c>
    </row>
    <row r="731">
      <c r="A731" s="6" t="inlineStr">
        <is>
          <t>L37</t>
        </is>
      </c>
      <c r="B731" s="6" t="inlineStr">
        <is>
          <t>near-duplicate</t>
        </is>
      </c>
      <c r="C731" s="6" t="inlineStr">
        <is>
          <t>Value — Problem frequency</t>
        </is>
      </c>
      <c r="D731" s="6" t="inlineStr">
        <is>
          <t>Moderate</t>
        </is>
      </c>
      <c r="E731" s="6">
        <f>IFERROR(INDEX('Annotator A'!$L$5:$L$44,MATCH($A731,'Annotator A'!$A$5:$A$44,0))&amp;"","")</f>
        <v/>
      </c>
      <c r="F731" s="6">
        <f>IFERROR(INDEX('Annotator B'!$L$5:$L$44,MATCH($A731,'Annotator B'!$A$5:$A$44,0))&amp;"","")</f>
        <v/>
      </c>
      <c r="G731" s="6">
        <f>IF(AND(E731="",F731=""),"",IF(E731=F731,"agree","DIFFER"))</f>
        <v/>
      </c>
      <c r="H731" s="7" t="n"/>
      <c r="I731" s="6">
        <f>IF(H731&lt;&gt;"",H731,IF(G731="agree",E731,""))</f>
        <v/>
      </c>
    </row>
    <row r="732">
      <c r="A732" s="6" t="inlineStr">
        <is>
          <t>L37</t>
        </is>
      </c>
      <c r="B732" s="6" t="inlineStr">
        <is>
          <t>near-duplicate</t>
        </is>
      </c>
      <c r="C732" s="6" t="inlineStr">
        <is>
          <t>Feasibility status</t>
        </is>
      </c>
      <c r="D732" s="6" t="inlineStr">
        <is>
          <t>FEASIBLE_WITH_CONDITIONS</t>
        </is>
      </c>
      <c r="E732" s="6">
        <f>IFERROR(INDEX('Annotator A'!$M$5:$M$44,MATCH($A732,'Annotator A'!$A$5:$A$44,0))&amp;"","")</f>
        <v/>
      </c>
      <c r="F732" s="6">
        <f>IFERROR(INDEX('Annotator B'!$M$5:$M$44,MATCH($A732,'Annotator B'!$A$5:$A$44,0))&amp;"","")</f>
        <v/>
      </c>
      <c r="G732" s="6">
        <f>IF(AND(E732="",F732=""),"",IF(E732=F732,"agree","DIFFER"))</f>
        <v/>
      </c>
      <c r="H732" s="7" t="n"/>
      <c r="I732" s="6">
        <f>IF(H732&lt;&gt;"",H732,IF(G732="agree",E732,""))</f>
        <v/>
      </c>
    </row>
    <row r="733">
      <c r="A733" s="6" t="inlineStr">
        <is>
          <t>L37</t>
        </is>
      </c>
      <c r="B733" s="6" t="inlineStr">
        <is>
          <t>near-duplicate</t>
        </is>
      </c>
      <c r="C733" s="6" t="inlineStr">
        <is>
          <t>Risk — Technical</t>
        </is>
      </c>
      <c r="D733" s="6" t="inlineStr"/>
      <c r="E733" s="6">
        <f>IFERROR(INDEX('Annotator A'!$N$5:$N$44,MATCH($A733,'Annotator A'!$A$5:$A$44,0))&amp;"","")</f>
        <v/>
      </c>
      <c r="F733" s="6">
        <f>IFERROR(INDEX('Annotator B'!$N$5:$N$44,MATCH($A733,'Annotator B'!$A$5:$A$44,0))&amp;"","")</f>
        <v/>
      </c>
      <c r="G733" s="6">
        <f>IF(AND(E733="",F733=""),"",IF(E733=F733,"agree","DIFFER"))</f>
        <v/>
      </c>
      <c r="H733" s="7" t="n"/>
      <c r="I733" s="6">
        <f>IF(H733&lt;&gt;"",H733,IF(G733="agree",E733,""))</f>
        <v/>
      </c>
    </row>
    <row r="734">
      <c r="A734" s="6" t="inlineStr">
        <is>
          <t>L37</t>
        </is>
      </c>
      <c r="B734" s="6" t="inlineStr">
        <is>
          <t>near-duplicate</t>
        </is>
      </c>
      <c r="C734" s="6" t="inlineStr">
        <is>
          <t>Risk — Security</t>
        </is>
      </c>
      <c r="D734" s="6" t="inlineStr"/>
      <c r="E734" s="6">
        <f>IFERROR(INDEX('Annotator A'!$O$5:$O$44,MATCH($A734,'Annotator A'!$A$5:$A$44,0))&amp;"","")</f>
        <v/>
      </c>
      <c r="F734" s="6">
        <f>IFERROR(INDEX('Annotator B'!$O$5:$O$44,MATCH($A734,'Annotator B'!$A$5:$A$44,0))&amp;"","")</f>
        <v/>
      </c>
      <c r="G734" s="6">
        <f>IF(AND(E734="",F734=""),"",IF(E734=F734,"agree","DIFFER"))</f>
        <v/>
      </c>
      <c r="H734" s="7" t="n"/>
      <c r="I734" s="6">
        <f>IF(H734&lt;&gt;"",H734,IF(G734="agree",E734,""))</f>
        <v/>
      </c>
    </row>
    <row r="735">
      <c r="A735" s="6" t="inlineStr">
        <is>
          <t>L37</t>
        </is>
      </c>
      <c r="B735" s="6" t="inlineStr">
        <is>
          <t>near-duplicate</t>
        </is>
      </c>
      <c r="C735" s="6" t="inlineStr">
        <is>
          <t>Risk — Privacy</t>
        </is>
      </c>
      <c r="D735" s="6" t="inlineStr"/>
      <c r="E735" s="6">
        <f>IFERROR(INDEX('Annotator A'!$P$5:$P$44,MATCH($A735,'Annotator A'!$A$5:$A$44,0))&amp;"","")</f>
        <v/>
      </c>
      <c r="F735" s="6">
        <f>IFERROR(INDEX('Annotator B'!$P$5:$P$44,MATCH($A735,'Annotator B'!$A$5:$A$44,0))&amp;"","")</f>
        <v/>
      </c>
      <c r="G735" s="6">
        <f>IF(AND(E735="",F735=""),"",IF(E735=F735,"agree","DIFFER"))</f>
        <v/>
      </c>
      <c r="H735" s="7" t="n"/>
      <c r="I735" s="6">
        <f>IF(H735&lt;&gt;"",H735,IF(G735="agree",E735,""))</f>
        <v/>
      </c>
    </row>
    <row r="736">
      <c r="A736" s="6" t="inlineStr">
        <is>
          <t>L37</t>
        </is>
      </c>
      <c r="B736" s="6" t="inlineStr">
        <is>
          <t>near-duplicate</t>
        </is>
      </c>
      <c r="C736" s="6" t="inlineStr">
        <is>
          <t>Risk — Compliance</t>
        </is>
      </c>
      <c r="D736" s="6" t="inlineStr"/>
      <c r="E736" s="6">
        <f>IFERROR(INDEX('Annotator A'!$Q$5:$Q$44,MATCH($A736,'Annotator A'!$A$5:$A$44,0))&amp;"","")</f>
        <v/>
      </c>
      <c r="F736" s="6">
        <f>IFERROR(INDEX('Annotator B'!$Q$5:$Q$44,MATCH($A736,'Annotator B'!$A$5:$A$44,0))&amp;"","")</f>
        <v/>
      </c>
      <c r="G736" s="6">
        <f>IF(AND(E736="",F736=""),"",IF(E736=F736,"agree","DIFFER"))</f>
        <v/>
      </c>
      <c r="H736" s="7" t="n"/>
      <c r="I736" s="6">
        <f>IF(H736&lt;&gt;"",H736,IF(G736="agree",E736,""))</f>
        <v/>
      </c>
    </row>
    <row r="737">
      <c r="A737" s="6" t="inlineStr">
        <is>
          <t>L37</t>
        </is>
      </c>
      <c r="B737" s="6" t="inlineStr">
        <is>
          <t>near-duplicate</t>
        </is>
      </c>
      <c r="C737" s="6" t="inlineStr">
        <is>
          <t>Risk — Financial</t>
        </is>
      </c>
      <c r="D737" s="6" t="inlineStr"/>
      <c r="E737" s="6">
        <f>IFERROR(INDEX('Annotator A'!$R$5:$R$44,MATCH($A737,'Annotator A'!$A$5:$A$44,0))&amp;"","")</f>
        <v/>
      </c>
      <c r="F737" s="6">
        <f>IFERROR(INDEX('Annotator B'!$R$5:$R$44,MATCH($A737,'Annotator B'!$A$5:$A$44,0))&amp;"","")</f>
        <v/>
      </c>
      <c r="G737" s="6">
        <f>IF(AND(E737="",F737=""),"",IF(E737=F737,"agree","DIFFER"))</f>
        <v/>
      </c>
      <c r="H737" s="7" t="n"/>
      <c r="I737" s="6">
        <f>IF(H737&lt;&gt;"",H737,IF(G737="agree",E737,""))</f>
        <v/>
      </c>
    </row>
    <row r="738">
      <c r="A738" s="6" t="inlineStr">
        <is>
          <t>L37</t>
        </is>
      </c>
      <c r="B738" s="6" t="inlineStr">
        <is>
          <t>near-duplicate</t>
        </is>
      </c>
      <c r="C738" s="6" t="inlineStr">
        <is>
          <t>Risk — Operational</t>
        </is>
      </c>
      <c r="D738" s="6" t="inlineStr"/>
      <c r="E738" s="6">
        <f>IFERROR(INDEX('Annotator A'!$S$5:$S$44,MATCH($A738,'Annotator A'!$A$5:$A$44,0))&amp;"","")</f>
        <v/>
      </c>
      <c r="F738" s="6">
        <f>IFERROR(INDEX('Annotator B'!$S$5:$S$44,MATCH($A738,'Annotator B'!$A$5:$A$44,0))&amp;"","")</f>
        <v/>
      </c>
      <c r="G738" s="6">
        <f>IF(AND(E738="",F738=""),"",IF(E738=F738,"agree","DIFFER"))</f>
        <v/>
      </c>
      <c r="H738" s="7" t="n"/>
      <c r="I738" s="6">
        <f>IF(H738&lt;&gt;"",H738,IF(G738="agree",E738,""))</f>
        <v/>
      </c>
    </row>
    <row r="739">
      <c r="A739" s="6" t="inlineStr">
        <is>
          <t>L37</t>
        </is>
      </c>
      <c r="B739" s="6" t="inlineStr">
        <is>
          <t>near-duplicate</t>
        </is>
      </c>
      <c r="C739" s="6" t="inlineStr">
        <is>
          <t>Risk — Adoption</t>
        </is>
      </c>
      <c r="D739" s="6" t="inlineStr"/>
      <c r="E739" s="6">
        <f>IFERROR(INDEX('Annotator A'!$T$5:$T$44,MATCH($A739,'Annotator A'!$A$5:$A$44,0))&amp;"","")</f>
        <v/>
      </c>
      <c r="F739" s="6">
        <f>IFERROR(INDEX('Annotator B'!$T$5:$T$44,MATCH($A739,'Annotator B'!$A$5:$A$44,0))&amp;"","")</f>
        <v/>
      </c>
      <c r="G739" s="6">
        <f>IF(AND(E739="",F739=""),"",IF(E739=F739,"agree","DIFFER"))</f>
        <v/>
      </c>
      <c r="H739" s="7" t="n"/>
      <c r="I739" s="6">
        <f>IF(H739&lt;&gt;"",H739,IF(G739="agree",E739,""))</f>
        <v/>
      </c>
    </row>
    <row r="740">
      <c r="A740" s="6" t="inlineStr">
        <is>
          <t>L37</t>
        </is>
      </c>
      <c r="B740" s="6" t="inlineStr">
        <is>
          <t>near-duplicate</t>
        </is>
      </c>
      <c r="C740" s="6" t="inlineStr">
        <is>
          <t>Risk — Data</t>
        </is>
      </c>
      <c r="D740" s="6" t="inlineStr"/>
      <c r="E740" s="6">
        <f>IFERROR(INDEX('Annotator A'!$U$5:$U$44,MATCH($A740,'Annotator A'!$A$5:$A$44,0))&amp;"","")</f>
        <v/>
      </c>
      <c r="F740" s="6">
        <f>IFERROR(INDEX('Annotator B'!$U$5:$U$44,MATCH($A740,'Annotator B'!$A$5:$A$44,0))&amp;"","")</f>
        <v/>
      </c>
      <c r="G740" s="6">
        <f>IF(AND(E740="",F740=""),"",IF(E740=F740,"agree","DIFFER"))</f>
        <v/>
      </c>
      <c r="H740" s="7" t="n"/>
      <c r="I740" s="6">
        <f>IF(H740&lt;&gt;"",H740,IF(G740="agree",E740,""))</f>
        <v/>
      </c>
    </row>
    <row r="741">
      <c r="A741" s="6" t="inlineStr">
        <is>
          <t>L37</t>
        </is>
      </c>
      <c r="B741" s="6" t="inlineStr">
        <is>
          <t>near-duplicate</t>
        </is>
      </c>
      <c r="C741" s="6" t="inlineStr">
        <is>
          <t>Risk — Vendor</t>
        </is>
      </c>
      <c r="D741" s="6" t="inlineStr"/>
      <c r="E741" s="6">
        <f>IFERROR(INDEX('Annotator A'!$V$5:$V$44,MATCH($A741,'Annotator A'!$A$5:$A$44,0))&amp;"","")</f>
        <v/>
      </c>
      <c r="F741" s="6">
        <f>IFERROR(INDEX('Annotator B'!$V$5:$V$44,MATCH($A741,'Annotator B'!$A$5:$A$44,0))&amp;"","")</f>
        <v/>
      </c>
      <c r="G741" s="6">
        <f>IF(AND(E741="",F741=""),"",IF(E741=F741,"agree","DIFFER"))</f>
        <v/>
      </c>
      <c r="H741" s="7" t="n"/>
      <c r="I741" s="6">
        <f>IF(H741&lt;&gt;"",H741,IF(G741="agree",E741,""))</f>
        <v/>
      </c>
    </row>
    <row r="742">
      <c r="A742" s="6" t="inlineStr">
        <is>
          <t>L38</t>
        </is>
      </c>
      <c r="B742" s="6" t="inlineStr">
        <is>
          <t>strong</t>
        </is>
      </c>
      <c r="C742" s="6" t="inlineStr">
        <is>
          <t>Use cases</t>
        </is>
      </c>
      <c r="D742" s="6" t="inlineStr">
        <is>
          <t>assign inbound lead to a sales rep by territory rule
assign immediately rather than once a day</t>
        </is>
      </c>
      <c r="E742" s="6">
        <f>IFERROR(INDEX('Annotator A'!$C$5:$C$44,MATCH($A742,'Annotator A'!$A$5:$A$44,0))&amp;"","")</f>
        <v/>
      </c>
      <c r="F742" s="6">
        <f>IFERROR(INDEX('Annotator B'!$C$5:$C$44,MATCH($A742,'Annotator B'!$A$5:$A$44,0))&amp;"","")</f>
        <v/>
      </c>
      <c r="G742" s="6" t="inlineStr">
        <is>
          <t>read both</t>
        </is>
      </c>
      <c r="H742" s="7" t="n"/>
      <c r="I742" s="6">
        <f>IF(H742&lt;&gt;"",H742,"")</f>
        <v/>
      </c>
    </row>
    <row r="743">
      <c r="A743" s="6" t="inlineStr">
        <is>
          <t>L38</t>
        </is>
      </c>
      <c r="B743" s="6" t="inlineStr">
        <is>
          <t>strong</t>
        </is>
      </c>
      <c r="C743" s="6" t="inlineStr">
        <is>
          <t>Value — Business impact</t>
        </is>
      </c>
      <c r="D743" s="6" t="inlineStr"/>
      <c r="E743" s="6">
        <f>IFERROR(INDEX('Annotator A'!$D$5:$D$44,MATCH($A743,'Annotator A'!$A$5:$A$44,0))&amp;"","")</f>
        <v/>
      </c>
      <c r="F743" s="6">
        <f>IFERROR(INDEX('Annotator B'!$D$5:$D$44,MATCH($A743,'Annotator B'!$A$5:$A$44,0))&amp;"","")</f>
        <v/>
      </c>
      <c r="G743" s="6">
        <f>IF(AND(E743="",F743=""),"",IF(E743=F743,"agree","DIFFER"))</f>
        <v/>
      </c>
      <c r="H743" s="7" t="n"/>
      <c r="I743" s="6">
        <f>IF(H743&lt;&gt;"",H743,IF(G743="agree",E743,""))</f>
        <v/>
      </c>
    </row>
    <row r="744">
      <c r="A744" s="6" t="inlineStr">
        <is>
          <t>L38</t>
        </is>
      </c>
      <c r="B744" s="6" t="inlineStr">
        <is>
          <t>strong</t>
        </is>
      </c>
      <c r="C744" s="6" t="inlineStr">
        <is>
          <t>Value — Productivity</t>
        </is>
      </c>
      <c r="D744" s="6" t="inlineStr"/>
      <c r="E744" s="6">
        <f>IFERROR(INDEX('Annotator A'!$E$5:$E$44,MATCH($A744,'Annotator A'!$A$5:$A$44,0))&amp;"","")</f>
        <v/>
      </c>
      <c r="F744" s="6">
        <f>IFERROR(INDEX('Annotator B'!$E$5:$E$44,MATCH($A744,'Annotator B'!$A$5:$A$44,0))&amp;"","")</f>
        <v/>
      </c>
      <c r="G744" s="6">
        <f>IF(AND(E744="",F744=""),"",IF(E744=F744,"agree","DIFFER"))</f>
        <v/>
      </c>
      <c r="H744" s="7" t="n"/>
      <c r="I744" s="6">
        <f>IF(H744&lt;&gt;"",H744,IF(G744="agree",E744,""))</f>
        <v/>
      </c>
    </row>
    <row r="745">
      <c r="A745" s="6" t="inlineStr">
        <is>
          <t>L38</t>
        </is>
      </c>
      <c r="B745" s="6" t="inlineStr">
        <is>
          <t>strong</t>
        </is>
      </c>
      <c r="C745" s="6" t="inlineStr">
        <is>
          <t>Value — Cost reduction</t>
        </is>
      </c>
      <c r="D745" s="6" t="inlineStr"/>
      <c r="E745" s="6">
        <f>IFERROR(INDEX('Annotator A'!$F$5:$F$44,MATCH($A745,'Annotator A'!$A$5:$A$44,0))&amp;"","")</f>
        <v/>
      </c>
      <c r="F745" s="6">
        <f>IFERROR(INDEX('Annotator B'!$F$5:$F$44,MATCH($A745,'Annotator B'!$A$5:$A$44,0))&amp;"","")</f>
        <v/>
      </c>
      <c r="G745" s="6">
        <f>IF(AND(E745="",F745=""),"",IF(E745=F745,"agree","DIFFER"))</f>
        <v/>
      </c>
      <c r="H745" s="7" t="n"/>
      <c r="I745" s="6">
        <f>IF(H745&lt;&gt;"",H745,IF(G745="agree",E745,""))</f>
        <v/>
      </c>
    </row>
    <row r="746">
      <c r="A746" s="6" t="inlineStr">
        <is>
          <t>L38</t>
        </is>
      </c>
      <c r="B746" s="6" t="inlineStr">
        <is>
          <t>strong</t>
        </is>
      </c>
      <c r="C746" s="6" t="inlineStr">
        <is>
          <t>Value — Revenue</t>
        </is>
      </c>
      <c r="D746" s="6" t="inlineStr">
        <is>
          <t>Moderate</t>
        </is>
      </c>
      <c r="E746" s="6">
        <f>IFERROR(INDEX('Annotator A'!$G$5:$G$44,MATCH($A746,'Annotator A'!$A$5:$A$44,0))&amp;"","")</f>
        <v/>
      </c>
      <c r="F746" s="6">
        <f>IFERROR(INDEX('Annotator B'!$G$5:$G$44,MATCH($A746,'Annotator B'!$A$5:$A$44,0))&amp;"","")</f>
        <v/>
      </c>
      <c r="G746" s="6">
        <f>IF(AND(E746="",F746=""),"",IF(E746=F746,"agree","DIFFER"))</f>
        <v/>
      </c>
      <c r="H746" s="7" t="n"/>
      <c r="I746" s="6">
        <f>IF(H746&lt;&gt;"",H746,IF(G746="agree",E746,""))</f>
        <v/>
      </c>
    </row>
    <row r="747">
      <c r="A747" s="6" t="inlineStr">
        <is>
          <t>L38</t>
        </is>
      </c>
      <c r="B747" s="6" t="inlineStr">
        <is>
          <t>strong</t>
        </is>
      </c>
      <c r="C747" s="6" t="inlineStr">
        <is>
          <t>Value — Employee experience</t>
        </is>
      </c>
      <c r="D747" s="6" t="inlineStr"/>
      <c r="E747" s="6">
        <f>IFERROR(INDEX('Annotator A'!$H$5:$H$44,MATCH($A747,'Annotator A'!$A$5:$A$44,0))&amp;"","")</f>
        <v/>
      </c>
      <c r="F747" s="6">
        <f>IFERROR(INDEX('Annotator B'!$H$5:$H$44,MATCH($A747,'Annotator B'!$A$5:$A$44,0))&amp;"","")</f>
        <v/>
      </c>
      <c r="G747" s="6">
        <f>IF(AND(E747="",F747=""),"",IF(E747=F747,"agree","DIFFER"))</f>
        <v/>
      </c>
      <c r="H747" s="7" t="n"/>
      <c r="I747" s="6">
        <f>IF(H747&lt;&gt;"",H747,IF(G747="agree",E747,""))</f>
        <v/>
      </c>
    </row>
    <row r="748">
      <c r="A748" s="6" t="inlineStr">
        <is>
          <t>L38</t>
        </is>
      </c>
      <c r="B748" s="6" t="inlineStr">
        <is>
          <t>strong</t>
        </is>
      </c>
      <c r="C748" s="6" t="inlineStr">
        <is>
          <t>Value — Customer impact</t>
        </is>
      </c>
      <c r="D748" s="6" t="inlineStr"/>
      <c r="E748" s="6">
        <f>IFERROR(INDEX('Annotator A'!$I$5:$I$44,MATCH($A748,'Annotator A'!$A$5:$A$44,0))&amp;"","")</f>
        <v/>
      </c>
      <c r="F748" s="6">
        <f>IFERROR(INDEX('Annotator B'!$I$5:$I$44,MATCH($A748,'Annotator B'!$A$5:$A$44,0))&amp;"","")</f>
        <v/>
      </c>
      <c r="G748" s="6">
        <f>IF(AND(E748="",F748=""),"",IF(E748=F748,"agree","DIFFER"))</f>
        <v/>
      </c>
      <c r="H748" s="7" t="n"/>
      <c r="I748" s="6">
        <f>IF(H748&lt;&gt;"",H748,IF(G748="agree",E748,""))</f>
        <v/>
      </c>
    </row>
    <row r="749">
      <c r="A749" s="6" t="inlineStr">
        <is>
          <t>L38</t>
        </is>
      </c>
      <c r="B749" s="6" t="inlineStr">
        <is>
          <t>strong</t>
        </is>
      </c>
      <c r="C749" s="6" t="inlineStr">
        <is>
          <t>Value — Operational</t>
        </is>
      </c>
      <c r="D749" s="6" t="inlineStr"/>
      <c r="E749" s="6">
        <f>IFERROR(INDEX('Annotator A'!$J$5:$J$44,MATCH($A749,'Annotator A'!$A$5:$A$44,0))&amp;"","")</f>
        <v/>
      </c>
      <c r="F749" s="6">
        <f>IFERROR(INDEX('Annotator B'!$J$5:$J$44,MATCH($A749,'Annotator B'!$A$5:$A$44,0))&amp;"","")</f>
        <v/>
      </c>
      <c r="G749" s="6">
        <f>IF(AND(E749="",F749=""),"",IF(E749=F749,"agree","DIFFER"))</f>
        <v/>
      </c>
      <c r="H749" s="7" t="n"/>
      <c r="I749" s="6">
        <f>IF(H749&lt;&gt;"",H749,IF(G749="agree",E749,""))</f>
        <v/>
      </c>
    </row>
    <row r="750">
      <c r="A750" s="6" t="inlineStr">
        <is>
          <t>L38</t>
        </is>
      </c>
      <c r="B750" s="6" t="inlineStr">
        <is>
          <t>strong</t>
        </is>
      </c>
      <c r="C750" s="6" t="inlineStr">
        <is>
          <t>Value — Problem severity</t>
        </is>
      </c>
      <c r="D750" s="6" t="inlineStr"/>
      <c r="E750" s="6">
        <f>IFERROR(INDEX('Annotator A'!$K$5:$K$44,MATCH($A750,'Annotator A'!$A$5:$A$44,0))&amp;"","")</f>
        <v/>
      </c>
      <c r="F750" s="6">
        <f>IFERROR(INDEX('Annotator B'!$K$5:$K$44,MATCH($A750,'Annotator B'!$A$5:$A$44,0))&amp;"","")</f>
        <v/>
      </c>
      <c r="G750" s="6">
        <f>IF(AND(E750="",F750=""),"",IF(E750=F750,"agree","DIFFER"))</f>
        <v/>
      </c>
      <c r="H750" s="7" t="n"/>
      <c r="I750" s="6">
        <f>IF(H750&lt;&gt;"",H750,IF(G750="agree",E750,""))</f>
        <v/>
      </c>
    </row>
    <row r="751">
      <c r="A751" s="6" t="inlineStr">
        <is>
          <t>L38</t>
        </is>
      </c>
      <c r="B751" s="6" t="inlineStr">
        <is>
          <t>strong</t>
        </is>
      </c>
      <c r="C751" s="6" t="inlineStr">
        <is>
          <t>Value — Problem frequency</t>
        </is>
      </c>
      <c r="D751" s="6" t="inlineStr">
        <is>
          <t>High</t>
        </is>
      </c>
      <c r="E751" s="6">
        <f>IFERROR(INDEX('Annotator A'!$L$5:$L$44,MATCH($A751,'Annotator A'!$A$5:$A$44,0))&amp;"","")</f>
        <v/>
      </c>
      <c r="F751" s="6">
        <f>IFERROR(INDEX('Annotator B'!$L$5:$L$44,MATCH($A751,'Annotator B'!$A$5:$A$44,0))&amp;"","")</f>
        <v/>
      </c>
      <c r="G751" s="6">
        <f>IF(AND(E751="",F751=""),"",IF(E751=F751,"agree","DIFFER"))</f>
        <v/>
      </c>
      <c r="H751" s="7" t="n"/>
      <c r="I751" s="6">
        <f>IF(H751&lt;&gt;"",H751,IF(G751="agree",E751,""))</f>
        <v/>
      </c>
    </row>
    <row r="752">
      <c r="A752" s="6" t="inlineStr">
        <is>
          <t>L38</t>
        </is>
      </c>
      <c r="B752" s="6" t="inlineStr">
        <is>
          <t>strong</t>
        </is>
      </c>
      <c r="C752" s="6" t="inlineStr">
        <is>
          <t>Feasibility status</t>
        </is>
      </c>
      <c r="D752" s="6" t="inlineStr">
        <is>
          <t>HIGHLY_FEASIBLE</t>
        </is>
      </c>
      <c r="E752" s="6">
        <f>IFERROR(INDEX('Annotator A'!$M$5:$M$44,MATCH($A752,'Annotator A'!$A$5:$A$44,0))&amp;"","")</f>
        <v/>
      </c>
      <c r="F752" s="6">
        <f>IFERROR(INDEX('Annotator B'!$M$5:$M$44,MATCH($A752,'Annotator B'!$A$5:$A$44,0))&amp;"","")</f>
        <v/>
      </c>
      <c r="G752" s="6">
        <f>IF(AND(E752="",F752=""),"",IF(E752=F752,"agree","DIFFER"))</f>
        <v/>
      </c>
      <c r="H752" s="7" t="n"/>
      <c r="I752" s="6">
        <f>IF(H752&lt;&gt;"",H752,IF(G752="agree",E752,""))</f>
        <v/>
      </c>
    </row>
    <row r="753">
      <c r="A753" s="6" t="inlineStr">
        <is>
          <t>L38</t>
        </is>
      </c>
      <c r="B753" s="6" t="inlineStr">
        <is>
          <t>strong</t>
        </is>
      </c>
      <c r="C753" s="6" t="inlineStr">
        <is>
          <t>Risk — Technical</t>
        </is>
      </c>
      <c r="D753" s="6" t="inlineStr"/>
      <c r="E753" s="6">
        <f>IFERROR(INDEX('Annotator A'!$N$5:$N$44,MATCH($A753,'Annotator A'!$A$5:$A$44,0))&amp;"","")</f>
        <v/>
      </c>
      <c r="F753" s="6">
        <f>IFERROR(INDEX('Annotator B'!$N$5:$N$44,MATCH($A753,'Annotator B'!$A$5:$A$44,0))&amp;"","")</f>
        <v/>
      </c>
      <c r="G753" s="6">
        <f>IF(AND(E753="",F753=""),"",IF(E753=F753,"agree","DIFFER"))</f>
        <v/>
      </c>
      <c r="H753" s="7" t="n"/>
      <c r="I753" s="6">
        <f>IF(H753&lt;&gt;"",H753,IF(G753="agree",E753,""))</f>
        <v/>
      </c>
    </row>
    <row r="754">
      <c r="A754" s="6" t="inlineStr">
        <is>
          <t>L38</t>
        </is>
      </c>
      <c r="B754" s="6" t="inlineStr">
        <is>
          <t>strong</t>
        </is>
      </c>
      <c r="C754" s="6" t="inlineStr">
        <is>
          <t>Risk — Security</t>
        </is>
      </c>
      <c r="D754" s="6" t="inlineStr"/>
      <c r="E754" s="6">
        <f>IFERROR(INDEX('Annotator A'!$O$5:$O$44,MATCH($A754,'Annotator A'!$A$5:$A$44,0))&amp;"","")</f>
        <v/>
      </c>
      <c r="F754" s="6">
        <f>IFERROR(INDEX('Annotator B'!$O$5:$O$44,MATCH($A754,'Annotator B'!$A$5:$A$44,0))&amp;"","")</f>
        <v/>
      </c>
      <c r="G754" s="6">
        <f>IF(AND(E754="",F754=""),"",IF(E754=F754,"agree","DIFFER"))</f>
        <v/>
      </c>
      <c r="H754" s="7" t="n"/>
      <c r="I754" s="6">
        <f>IF(H754&lt;&gt;"",H754,IF(G754="agree",E754,""))</f>
        <v/>
      </c>
    </row>
    <row r="755">
      <c r="A755" s="6" t="inlineStr">
        <is>
          <t>L38</t>
        </is>
      </c>
      <c r="B755" s="6" t="inlineStr">
        <is>
          <t>strong</t>
        </is>
      </c>
      <c r="C755" s="6" t="inlineStr">
        <is>
          <t>Risk — Privacy</t>
        </is>
      </c>
      <c r="D755" s="6" t="inlineStr"/>
      <c r="E755" s="6">
        <f>IFERROR(INDEX('Annotator A'!$P$5:$P$44,MATCH($A755,'Annotator A'!$A$5:$A$44,0))&amp;"","")</f>
        <v/>
      </c>
      <c r="F755" s="6">
        <f>IFERROR(INDEX('Annotator B'!$P$5:$P$44,MATCH($A755,'Annotator B'!$A$5:$A$44,0))&amp;"","")</f>
        <v/>
      </c>
      <c r="G755" s="6">
        <f>IF(AND(E755="",F755=""),"",IF(E755=F755,"agree","DIFFER"))</f>
        <v/>
      </c>
      <c r="H755" s="7" t="n"/>
      <c r="I755" s="6">
        <f>IF(H755&lt;&gt;"",H755,IF(G755="agree",E755,""))</f>
        <v/>
      </c>
    </row>
    <row r="756">
      <c r="A756" s="6" t="inlineStr">
        <is>
          <t>L38</t>
        </is>
      </c>
      <c r="B756" s="6" t="inlineStr">
        <is>
          <t>strong</t>
        </is>
      </c>
      <c r="C756" s="6" t="inlineStr">
        <is>
          <t>Risk — Compliance</t>
        </is>
      </c>
      <c r="D756" s="6" t="inlineStr"/>
      <c r="E756" s="6">
        <f>IFERROR(INDEX('Annotator A'!$Q$5:$Q$44,MATCH($A756,'Annotator A'!$A$5:$A$44,0))&amp;"","")</f>
        <v/>
      </c>
      <c r="F756" s="6">
        <f>IFERROR(INDEX('Annotator B'!$Q$5:$Q$44,MATCH($A756,'Annotator B'!$A$5:$A$44,0))&amp;"","")</f>
        <v/>
      </c>
      <c r="G756" s="6">
        <f>IF(AND(E756="",F756=""),"",IF(E756=F756,"agree","DIFFER"))</f>
        <v/>
      </c>
      <c r="H756" s="7" t="n"/>
      <c r="I756" s="6">
        <f>IF(H756&lt;&gt;"",H756,IF(G756="agree",E756,""))</f>
        <v/>
      </c>
    </row>
    <row r="757">
      <c r="A757" s="6" t="inlineStr">
        <is>
          <t>L38</t>
        </is>
      </c>
      <c r="B757" s="6" t="inlineStr">
        <is>
          <t>strong</t>
        </is>
      </c>
      <c r="C757" s="6" t="inlineStr">
        <is>
          <t>Risk — Financial</t>
        </is>
      </c>
      <c r="D757" s="6" t="inlineStr"/>
      <c r="E757" s="6">
        <f>IFERROR(INDEX('Annotator A'!$R$5:$R$44,MATCH($A757,'Annotator A'!$A$5:$A$44,0))&amp;"","")</f>
        <v/>
      </c>
      <c r="F757" s="6">
        <f>IFERROR(INDEX('Annotator B'!$R$5:$R$44,MATCH($A757,'Annotator B'!$A$5:$A$44,0))&amp;"","")</f>
        <v/>
      </c>
      <c r="G757" s="6">
        <f>IF(AND(E757="",F757=""),"",IF(E757=F757,"agree","DIFFER"))</f>
        <v/>
      </c>
      <c r="H757" s="7" t="n"/>
      <c r="I757" s="6">
        <f>IF(H757&lt;&gt;"",H757,IF(G757="agree",E757,""))</f>
        <v/>
      </c>
    </row>
    <row r="758">
      <c r="A758" s="6" t="inlineStr">
        <is>
          <t>L38</t>
        </is>
      </c>
      <c r="B758" s="6" t="inlineStr">
        <is>
          <t>strong</t>
        </is>
      </c>
      <c r="C758" s="6" t="inlineStr">
        <is>
          <t>Risk — Operational</t>
        </is>
      </c>
      <c r="D758" s="6" t="inlineStr">
        <is>
          <t>Yes</t>
        </is>
      </c>
      <c r="E758" s="6">
        <f>IFERROR(INDEX('Annotator A'!$S$5:$S$44,MATCH($A758,'Annotator A'!$A$5:$A$44,0))&amp;"","")</f>
        <v/>
      </c>
      <c r="F758" s="6">
        <f>IFERROR(INDEX('Annotator B'!$S$5:$S$44,MATCH($A758,'Annotator B'!$A$5:$A$44,0))&amp;"","")</f>
        <v/>
      </c>
      <c r="G758" s="6">
        <f>IF(AND(E758="",F758=""),"",IF(E758=F758,"agree","DIFFER"))</f>
        <v/>
      </c>
      <c r="H758" s="7" t="n"/>
      <c r="I758" s="6">
        <f>IF(H758&lt;&gt;"",H758,IF(G758="agree",E758,""))</f>
        <v/>
      </c>
    </row>
    <row r="759">
      <c r="A759" s="6" t="inlineStr">
        <is>
          <t>L38</t>
        </is>
      </c>
      <c r="B759" s="6" t="inlineStr">
        <is>
          <t>strong</t>
        </is>
      </c>
      <c r="C759" s="6" t="inlineStr">
        <is>
          <t>Risk — Adoption</t>
        </is>
      </c>
      <c r="D759" s="6" t="inlineStr"/>
      <c r="E759" s="6">
        <f>IFERROR(INDEX('Annotator A'!$T$5:$T$44,MATCH($A759,'Annotator A'!$A$5:$A$44,0))&amp;"","")</f>
        <v/>
      </c>
      <c r="F759" s="6">
        <f>IFERROR(INDEX('Annotator B'!$T$5:$T$44,MATCH($A759,'Annotator B'!$A$5:$A$44,0))&amp;"","")</f>
        <v/>
      </c>
      <c r="G759" s="6">
        <f>IF(AND(E759="",F759=""),"",IF(E759=F759,"agree","DIFFER"))</f>
        <v/>
      </c>
      <c r="H759" s="7" t="n"/>
      <c r="I759" s="6">
        <f>IF(H759&lt;&gt;"",H759,IF(G759="agree",E759,""))</f>
        <v/>
      </c>
    </row>
    <row r="760">
      <c r="A760" s="6" t="inlineStr">
        <is>
          <t>L38</t>
        </is>
      </c>
      <c r="B760" s="6" t="inlineStr">
        <is>
          <t>strong</t>
        </is>
      </c>
      <c r="C760" s="6" t="inlineStr">
        <is>
          <t>Risk — Data</t>
        </is>
      </c>
      <c r="D760" s="6" t="inlineStr"/>
      <c r="E760" s="6">
        <f>IFERROR(INDEX('Annotator A'!$U$5:$U$44,MATCH($A760,'Annotator A'!$A$5:$A$44,0))&amp;"","")</f>
        <v/>
      </c>
      <c r="F760" s="6">
        <f>IFERROR(INDEX('Annotator B'!$U$5:$U$44,MATCH($A760,'Annotator B'!$A$5:$A$44,0))&amp;"","")</f>
        <v/>
      </c>
      <c r="G760" s="6">
        <f>IF(AND(E760="",F760=""),"",IF(E760=F760,"agree","DIFFER"))</f>
        <v/>
      </c>
      <c r="H760" s="7" t="n"/>
      <c r="I760" s="6">
        <f>IF(H760&lt;&gt;"",H760,IF(G760="agree",E760,""))</f>
        <v/>
      </c>
    </row>
    <row r="761">
      <c r="A761" s="6" t="inlineStr">
        <is>
          <t>L38</t>
        </is>
      </c>
      <c r="B761" s="6" t="inlineStr">
        <is>
          <t>strong</t>
        </is>
      </c>
      <c r="C761" s="6" t="inlineStr">
        <is>
          <t>Risk — Vendor</t>
        </is>
      </c>
      <c r="D761" s="6" t="inlineStr"/>
      <c r="E761" s="6">
        <f>IFERROR(INDEX('Annotator A'!$V$5:$V$44,MATCH($A761,'Annotator A'!$A$5:$A$44,0))&amp;"","")</f>
        <v/>
      </c>
      <c r="F761" s="6">
        <f>IFERROR(INDEX('Annotator B'!$V$5:$V$44,MATCH($A761,'Annotator B'!$A$5:$A$44,0))&amp;"","")</f>
        <v/>
      </c>
      <c r="G761" s="6">
        <f>IF(AND(E761="",F761=""),"",IF(E761=F761,"agree","DIFFER"))</f>
        <v/>
      </c>
      <c r="H761" s="7" t="n"/>
      <c r="I761" s="6">
        <f>IF(H761&lt;&gt;"",H761,IF(G761="agree",E761,""))</f>
        <v/>
      </c>
    </row>
    <row r="762">
      <c r="A762" s="6" t="inlineStr">
        <is>
          <t>L39</t>
        </is>
      </c>
      <c r="B762" s="6" t="inlineStr">
        <is>
          <t>near-duplicate</t>
        </is>
      </c>
      <c r="C762" s="6" t="inlineStr">
        <is>
          <t>Use cases</t>
        </is>
      </c>
      <c r="D762" s="6" t="inlineStr">
        <is>
          <t>detect duplicate customer records by name, email or phone
merge duplicates into one record</t>
        </is>
      </c>
      <c r="E762" s="6">
        <f>IFERROR(INDEX('Annotator A'!$C$5:$C$44,MATCH($A762,'Annotator A'!$A$5:$A$44,0))&amp;"","")</f>
        <v/>
      </c>
      <c r="F762" s="6">
        <f>IFERROR(INDEX('Annotator B'!$C$5:$C$44,MATCH($A762,'Annotator B'!$A$5:$A$44,0))&amp;"","")</f>
        <v/>
      </c>
      <c r="G762" s="6" t="inlineStr">
        <is>
          <t>read both</t>
        </is>
      </c>
      <c r="H762" s="7" t="n"/>
      <c r="I762" s="6">
        <f>IF(H762&lt;&gt;"",H762,"")</f>
        <v/>
      </c>
    </row>
    <row r="763">
      <c r="A763" s="6" t="inlineStr">
        <is>
          <t>L39</t>
        </is>
      </c>
      <c r="B763" s="6" t="inlineStr">
        <is>
          <t>near-duplicate</t>
        </is>
      </c>
      <c r="C763" s="6" t="inlineStr">
        <is>
          <t>Value — Business impact</t>
        </is>
      </c>
      <c r="D763" s="6" t="inlineStr"/>
      <c r="E763" s="6">
        <f>IFERROR(INDEX('Annotator A'!$D$5:$D$44,MATCH($A763,'Annotator A'!$A$5:$A$44,0))&amp;"","")</f>
        <v/>
      </c>
      <c r="F763" s="6">
        <f>IFERROR(INDEX('Annotator B'!$D$5:$D$44,MATCH($A763,'Annotator B'!$A$5:$A$44,0))&amp;"","")</f>
        <v/>
      </c>
      <c r="G763" s="6">
        <f>IF(AND(E763="",F763=""),"",IF(E763=F763,"agree","DIFFER"))</f>
        <v/>
      </c>
      <c r="H763" s="7" t="n"/>
      <c r="I763" s="6">
        <f>IF(H763&lt;&gt;"",H763,IF(G763="agree",E763,""))</f>
        <v/>
      </c>
    </row>
    <row r="764">
      <c r="A764" s="6" t="inlineStr">
        <is>
          <t>L39</t>
        </is>
      </c>
      <c r="B764" s="6" t="inlineStr">
        <is>
          <t>near-duplicate</t>
        </is>
      </c>
      <c r="C764" s="6" t="inlineStr">
        <is>
          <t>Value — Productivity</t>
        </is>
      </c>
      <c r="D764" s="6" t="inlineStr"/>
      <c r="E764" s="6">
        <f>IFERROR(INDEX('Annotator A'!$E$5:$E$44,MATCH($A764,'Annotator A'!$A$5:$A$44,0))&amp;"","")</f>
        <v/>
      </c>
      <c r="F764" s="6">
        <f>IFERROR(INDEX('Annotator B'!$E$5:$E$44,MATCH($A764,'Annotator B'!$A$5:$A$44,0))&amp;"","")</f>
        <v/>
      </c>
      <c r="G764" s="6">
        <f>IF(AND(E764="",F764=""),"",IF(E764=F764,"agree","DIFFER"))</f>
        <v/>
      </c>
      <c r="H764" s="7" t="n"/>
      <c r="I764" s="6">
        <f>IF(H764&lt;&gt;"",H764,IF(G764="agree",E764,""))</f>
        <v/>
      </c>
    </row>
    <row r="765">
      <c r="A765" s="6" t="inlineStr">
        <is>
          <t>L39</t>
        </is>
      </c>
      <c r="B765" s="6" t="inlineStr">
        <is>
          <t>near-duplicate</t>
        </is>
      </c>
      <c r="C765" s="6" t="inlineStr">
        <is>
          <t>Value — Cost reduction</t>
        </is>
      </c>
      <c r="D765" s="6" t="inlineStr"/>
      <c r="E765" s="6">
        <f>IFERROR(INDEX('Annotator A'!$F$5:$F$44,MATCH($A765,'Annotator A'!$A$5:$A$44,0))&amp;"","")</f>
        <v/>
      </c>
      <c r="F765" s="6">
        <f>IFERROR(INDEX('Annotator B'!$F$5:$F$44,MATCH($A765,'Annotator B'!$A$5:$A$44,0))&amp;"","")</f>
        <v/>
      </c>
      <c r="G765" s="6">
        <f>IF(AND(E765="",F765=""),"",IF(E765=F765,"agree","DIFFER"))</f>
        <v/>
      </c>
      <c r="H765" s="7" t="n"/>
      <c r="I765" s="6">
        <f>IF(H765&lt;&gt;"",H765,IF(G765="agree",E765,""))</f>
        <v/>
      </c>
    </row>
    <row r="766">
      <c r="A766" s="6" t="inlineStr">
        <is>
          <t>L39</t>
        </is>
      </c>
      <c r="B766" s="6" t="inlineStr">
        <is>
          <t>near-duplicate</t>
        </is>
      </c>
      <c r="C766" s="6" t="inlineStr">
        <is>
          <t>Value — Revenue</t>
        </is>
      </c>
      <c r="D766" s="6" t="inlineStr"/>
      <c r="E766" s="6">
        <f>IFERROR(INDEX('Annotator A'!$G$5:$G$44,MATCH($A766,'Annotator A'!$A$5:$A$44,0))&amp;"","")</f>
        <v/>
      </c>
      <c r="F766" s="6">
        <f>IFERROR(INDEX('Annotator B'!$G$5:$G$44,MATCH($A766,'Annotator B'!$A$5:$A$44,0))&amp;"","")</f>
        <v/>
      </c>
      <c r="G766" s="6">
        <f>IF(AND(E766="",F766=""),"",IF(E766=F766,"agree","DIFFER"))</f>
        <v/>
      </c>
      <c r="H766" s="7" t="n"/>
      <c r="I766" s="6">
        <f>IF(H766&lt;&gt;"",H766,IF(G766="agree",E766,""))</f>
        <v/>
      </c>
    </row>
    <row r="767">
      <c r="A767" s="6" t="inlineStr">
        <is>
          <t>L39</t>
        </is>
      </c>
      <c r="B767" s="6" t="inlineStr">
        <is>
          <t>near-duplicate</t>
        </is>
      </c>
      <c r="C767" s="6" t="inlineStr">
        <is>
          <t>Value — Employee experience</t>
        </is>
      </c>
      <c r="D767" s="6" t="inlineStr"/>
      <c r="E767" s="6">
        <f>IFERROR(INDEX('Annotator A'!$H$5:$H$44,MATCH($A767,'Annotator A'!$A$5:$A$44,0))&amp;"","")</f>
        <v/>
      </c>
      <c r="F767" s="6">
        <f>IFERROR(INDEX('Annotator B'!$H$5:$H$44,MATCH($A767,'Annotator B'!$A$5:$A$44,0))&amp;"","")</f>
        <v/>
      </c>
      <c r="G767" s="6">
        <f>IF(AND(E767="",F767=""),"",IF(E767=F767,"agree","DIFFER"))</f>
        <v/>
      </c>
      <c r="H767" s="7" t="n"/>
      <c r="I767" s="6">
        <f>IF(H767&lt;&gt;"",H767,IF(G767="agree",E767,""))</f>
        <v/>
      </c>
    </row>
    <row r="768">
      <c r="A768" s="6" t="inlineStr">
        <is>
          <t>L39</t>
        </is>
      </c>
      <c r="B768" s="6" t="inlineStr">
        <is>
          <t>near-duplicate</t>
        </is>
      </c>
      <c r="C768" s="6" t="inlineStr">
        <is>
          <t>Value — Customer impact</t>
        </is>
      </c>
      <c r="D768" s="6" t="inlineStr"/>
      <c r="E768" s="6">
        <f>IFERROR(INDEX('Annotator A'!$I$5:$I$44,MATCH($A768,'Annotator A'!$A$5:$A$44,0))&amp;"","")</f>
        <v/>
      </c>
      <c r="F768" s="6">
        <f>IFERROR(INDEX('Annotator B'!$I$5:$I$44,MATCH($A768,'Annotator B'!$A$5:$A$44,0))&amp;"","")</f>
        <v/>
      </c>
      <c r="G768" s="6">
        <f>IF(AND(E768="",F768=""),"",IF(E768=F768,"agree","DIFFER"))</f>
        <v/>
      </c>
      <c r="H768" s="7" t="n"/>
      <c r="I768" s="6">
        <f>IF(H768&lt;&gt;"",H768,IF(G768="agree",E768,""))</f>
        <v/>
      </c>
    </row>
    <row r="769">
      <c r="A769" s="6" t="inlineStr">
        <is>
          <t>L39</t>
        </is>
      </c>
      <c r="B769" s="6" t="inlineStr">
        <is>
          <t>near-duplicate</t>
        </is>
      </c>
      <c r="C769" s="6" t="inlineStr">
        <is>
          <t>Value — Operational</t>
        </is>
      </c>
      <c r="D769" s="6" t="inlineStr">
        <is>
          <t>Moderate</t>
        </is>
      </c>
      <c r="E769" s="6">
        <f>IFERROR(INDEX('Annotator A'!$J$5:$J$44,MATCH($A769,'Annotator A'!$A$5:$A$44,0))&amp;"","")</f>
        <v/>
      </c>
      <c r="F769" s="6">
        <f>IFERROR(INDEX('Annotator B'!$J$5:$J$44,MATCH($A769,'Annotator B'!$A$5:$A$44,0))&amp;"","")</f>
        <v/>
      </c>
      <c r="G769" s="6">
        <f>IF(AND(E769="",F769=""),"",IF(E769=F769,"agree","DIFFER"))</f>
        <v/>
      </c>
      <c r="H769" s="7" t="n"/>
      <c r="I769" s="6">
        <f>IF(H769&lt;&gt;"",H769,IF(G769="agree",E769,""))</f>
        <v/>
      </c>
    </row>
    <row r="770">
      <c r="A770" s="6" t="inlineStr">
        <is>
          <t>L39</t>
        </is>
      </c>
      <c r="B770" s="6" t="inlineStr">
        <is>
          <t>near-duplicate</t>
        </is>
      </c>
      <c r="C770" s="6" t="inlineStr">
        <is>
          <t>Value — Problem severity</t>
        </is>
      </c>
      <c r="D770" s="6" t="inlineStr"/>
      <c r="E770" s="6">
        <f>IFERROR(INDEX('Annotator A'!$K$5:$K$44,MATCH($A770,'Annotator A'!$A$5:$A$44,0))&amp;"","")</f>
        <v/>
      </c>
      <c r="F770" s="6">
        <f>IFERROR(INDEX('Annotator B'!$K$5:$K$44,MATCH($A770,'Annotator B'!$A$5:$A$44,0))&amp;"","")</f>
        <v/>
      </c>
      <c r="G770" s="6">
        <f>IF(AND(E770="",F770=""),"",IF(E770=F770,"agree","DIFFER"))</f>
        <v/>
      </c>
      <c r="H770" s="7" t="n"/>
      <c r="I770" s="6">
        <f>IF(H770&lt;&gt;"",H770,IF(G770="agree",E770,""))</f>
        <v/>
      </c>
    </row>
    <row r="771">
      <c r="A771" s="6" t="inlineStr">
        <is>
          <t>L39</t>
        </is>
      </c>
      <c r="B771" s="6" t="inlineStr">
        <is>
          <t>near-duplicate</t>
        </is>
      </c>
      <c r="C771" s="6" t="inlineStr">
        <is>
          <t>Value — Problem frequency</t>
        </is>
      </c>
      <c r="D771" s="6" t="inlineStr">
        <is>
          <t>Moderate</t>
        </is>
      </c>
      <c r="E771" s="6">
        <f>IFERROR(INDEX('Annotator A'!$L$5:$L$44,MATCH($A771,'Annotator A'!$A$5:$A$44,0))&amp;"","")</f>
        <v/>
      </c>
      <c r="F771" s="6">
        <f>IFERROR(INDEX('Annotator B'!$L$5:$L$44,MATCH($A771,'Annotator B'!$A$5:$A$44,0))&amp;"","")</f>
        <v/>
      </c>
      <c r="G771" s="6">
        <f>IF(AND(E771="",F771=""),"",IF(E771=F771,"agree","DIFFER"))</f>
        <v/>
      </c>
      <c r="H771" s="7" t="n"/>
      <c r="I771" s="6">
        <f>IF(H771&lt;&gt;"",H771,IF(G771="agree",E771,""))</f>
        <v/>
      </c>
    </row>
    <row r="772">
      <c r="A772" s="6" t="inlineStr">
        <is>
          <t>L39</t>
        </is>
      </c>
      <c r="B772" s="6" t="inlineStr">
        <is>
          <t>near-duplicate</t>
        </is>
      </c>
      <c r="C772" s="6" t="inlineStr">
        <is>
          <t>Feasibility status</t>
        </is>
      </c>
      <c r="D772" s="6" t="inlineStr">
        <is>
          <t>FEASIBLE_WITH_CONDITIONS</t>
        </is>
      </c>
      <c r="E772" s="6">
        <f>IFERROR(INDEX('Annotator A'!$M$5:$M$44,MATCH($A772,'Annotator A'!$A$5:$A$44,0))&amp;"","")</f>
        <v/>
      </c>
      <c r="F772" s="6">
        <f>IFERROR(INDEX('Annotator B'!$M$5:$M$44,MATCH($A772,'Annotator B'!$A$5:$A$44,0))&amp;"","")</f>
        <v/>
      </c>
      <c r="G772" s="6">
        <f>IF(AND(E772="",F772=""),"",IF(E772=F772,"agree","DIFFER"))</f>
        <v/>
      </c>
      <c r="H772" s="7" t="n"/>
      <c r="I772" s="6">
        <f>IF(H772&lt;&gt;"",H772,IF(G772="agree",E772,""))</f>
        <v/>
      </c>
    </row>
    <row r="773">
      <c r="A773" s="6" t="inlineStr">
        <is>
          <t>L39</t>
        </is>
      </c>
      <c r="B773" s="6" t="inlineStr">
        <is>
          <t>near-duplicate</t>
        </is>
      </c>
      <c r="C773" s="6" t="inlineStr">
        <is>
          <t>Risk — Technical</t>
        </is>
      </c>
      <c r="D773" s="6" t="inlineStr"/>
      <c r="E773" s="6">
        <f>IFERROR(INDEX('Annotator A'!$N$5:$N$44,MATCH($A773,'Annotator A'!$A$5:$A$44,0))&amp;"","")</f>
        <v/>
      </c>
      <c r="F773" s="6">
        <f>IFERROR(INDEX('Annotator B'!$N$5:$N$44,MATCH($A773,'Annotator B'!$A$5:$A$44,0))&amp;"","")</f>
        <v/>
      </c>
      <c r="G773" s="6">
        <f>IF(AND(E773="",F773=""),"",IF(E773=F773,"agree","DIFFER"))</f>
        <v/>
      </c>
      <c r="H773" s="7" t="n"/>
      <c r="I773" s="6">
        <f>IF(H773&lt;&gt;"",H773,IF(G773="agree",E773,""))</f>
        <v/>
      </c>
    </row>
    <row r="774">
      <c r="A774" s="6" t="inlineStr">
        <is>
          <t>L39</t>
        </is>
      </c>
      <c r="B774" s="6" t="inlineStr">
        <is>
          <t>near-duplicate</t>
        </is>
      </c>
      <c r="C774" s="6" t="inlineStr">
        <is>
          <t>Risk — Security</t>
        </is>
      </c>
      <c r="D774" s="6" t="inlineStr"/>
      <c r="E774" s="6">
        <f>IFERROR(INDEX('Annotator A'!$O$5:$O$44,MATCH($A774,'Annotator A'!$A$5:$A$44,0))&amp;"","")</f>
        <v/>
      </c>
      <c r="F774" s="6">
        <f>IFERROR(INDEX('Annotator B'!$O$5:$O$44,MATCH($A774,'Annotator B'!$A$5:$A$44,0))&amp;"","")</f>
        <v/>
      </c>
      <c r="G774" s="6">
        <f>IF(AND(E774="",F774=""),"",IF(E774=F774,"agree","DIFFER"))</f>
        <v/>
      </c>
      <c r="H774" s="7" t="n"/>
      <c r="I774" s="6">
        <f>IF(H774&lt;&gt;"",H774,IF(G774="agree",E774,""))</f>
        <v/>
      </c>
    </row>
    <row r="775">
      <c r="A775" s="6" t="inlineStr">
        <is>
          <t>L39</t>
        </is>
      </c>
      <c r="B775" s="6" t="inlineStr">
        <is>
          <t>near-duplicate</t>
        </is>
      </c>
      <c r="C775" s="6" t="inlineStr">
        <is>
          <t>Risk — Privacy</t>
        </is>
      </c>
      <c r="D775" s="6" t="inlineStr"/>
      <c r="E775" s="6">
        <f>IFERROR(INDEX('Annotator A'!$P$5:$P$44,MATCH($A775,'Annotator A'!$A$5:$A$44,0))&amp;"","")</f>
        <v/>
      </c>
      <c r="F775" s="6">
        <f>IFERROR(INDEX('Annotator B'!$P$5:$P$44,MATCH($A775,'Annotator B'!$A$5:$A$44,0))&amp;"","")</f>
        <v/>
      </c>
      <c r="G775" s="6">
        <f>IF(AND(E775="",F775=""),"",IF(E775=F775,"agree","DIFFER"))</f>
        <v/>
      </c>
      <c r="H775" s="7" t="n"/>
      <c r="I775" s="6">
        <f>IF(H775&lt;&gt;"",H775,IF(G775="agree",E775,""))</f>
        <v/>
      </c>
    </row>
    <row r="776">
      <c r="A776" s="6" t="inlineStr">
        <is>
          <t>L39</t>
        </is>
      </c>
      <c r="B776" s="6" t="inlineStr">
        <is>
          <t>near-duplicate</t>
        </is>
      </c>
      <c r="C776" s="6" t="inlineStr">
        <is>
          <t>Risk — Compliance</t>
        </is>
      </c>
      <c r="D776" s="6" t="inlineStr"/>
      <c r="E776" s="6">
        <f>IFERROR(INDEX('Annotator A'!$Q$5:$Q$44,MATCH($A776,'Annotator A'!$A$5:$A$44,0))&amp;"","")</f>
        <v/>
      </c>
      <c r="F776" s="6">
        <f>IFERROR(INDEX('Annotator B'!$Q$5:$Q$44,MATCH($A776,'Annotator B'!$A$5:$A$44,0))&amp;"","")</f>
        <v/>
      </c>
      <c r="G776" s="6">
        <f>IF(AND(E776="",F776=""),"",IF(E776=F776,"agree","DIFFER"))</f>
        <v/>
      </c>
      <c r="H776" s="7" t="n"/>
      <c r="I776" s="6">
        <f>IF(H776&lt;&gt;"",H776,IF(G776="agree",E776,""))</f>
        <v/>
      </c>
    </row>
    <row r="777">
      <c r="A777" s="6" t="inlineStr">
        <is>
          <t>L39</t>
        </is>
      </c>
      <c r="B777" s="6" t="inlineStr">
        <is>
          <t>near-duplicate</t>
        </is>
      </c>
      <c r="C777" s="6" t="inlineStr">
        <is>
          <t>Risk — Financial</t>
        </is>
      </c>
      <c r="D777" s="6" t="inlineStr"/>
      <c r="E777" s="6">
        <f>IFERROR(INDEX('Annotator A'!$R$5:$R$44,MATCH($A777,'Annotator A'!$A$5:$A$44,0))&amp;"","")</f>
        <v/>
      </c>
      <c r="F777" s="6">
        <f>IFERROR(INDEX('Annotator B'!$R$5:$R$44,MATCH($A777,'Annotator B'!$A$5:$A$44,0))&amp;"","")</f>
        <v/>
      </c>
      <c r="G777" s="6">
        <f>IF(AND(E777="",F777=""),"",IF(E777=F777,"agree","DIFFER"))</f>
        <v/>
      </c>
      <c r="H777" s="7" t="n"/>
      <c r="I777" s="6">
        <f>IF(H777&lt;&gt;"",H777,IF(G777="agree",E777,""))</f>
        <v/>
      </c>
    </row>
    <row r="778">
      <c r="A778" s="6" t="inlineStr">
        <is>
          <t>L39</t>
        </is>
      </c>
      <c r="B778" s="6" t="inlineStr">
        <is>
          <t>near-duplicate</t>
        </is>
      </c>
      <c r="C778" s="6" t="inlineStr">
        <is>
          <t>Risk — Operational</t>
        </is>
      </c>
      <c r="D778" s="6" t="inlineStr"/>
      <c r="E778" s="6">
        <f>IFERROR(INDEX('Annotator A'!$S$5:$S$44,MATCH($A778,'Annotator A'!$A$5:$A$44,0))&amp;"","")</f>
        <v/>
      </c>
      <c r="F778" s="6">
        <f>IFERROR(INDEX('Annotator B'!$S$5:$S$44,MATCH($A778,'Annotator B'!$A$5:$A$44,0))&amp;"","")</f>
        <v/>
      </c>
      <c r="G778" s="6">
        <f>IF(AND(E778="",F778=""),"",IF(E778=F778,"agree","DIFFER"))</f>
        <v/>
      </c>
      <c r="H778" s="7" t="n"/>
      <c r="I778" s="6">
        <f>IF(H778&lt;&gt;"",H778,IF(G778="agree",E778,""))</f>
        <v/>
      </c>
    </row>
    <row r="779">
      <c r="A779" s="6" t="inlineStr">
        <is>
          <t>L39</t>
        </is>
      </c>
      <c r="B779" s="6" t="inlineStr">
        <is>
          <t>near-duplicate</t>
        </is>
      </c>
      <c r="C779" s="6" t="inlineStr">
        <is>
          <t>Risk — Adoption</t>
        </is>
      </c>
      <c r="D779" s="6" t="inlineStr"/>
      <c r="E779" s="6">
        <f>IFERROR(INDEX('Annotator A'!$T$5:$T$44,MATCH($A779,'Annotator A'!$A$5:$A$44,0))&amp;"","")</f>
        <v/>
      </c>
      <c r="F779" s="6">
        <f>IFERROR(INDEX('Annotator B'!$T$5:$T$44,MATCH($A779,'Annotator B'!$A$5:$A$44,0))&amp;"","")</f>
        <v/>
      </c>
      <c r="G779" s="6">
        <f>IF(AND(E779="",F779=""),"",IF(E779=F779,"agree","DIFFER"))</f>
        <v/>
      </c>
      <c r="H779" s="7" t="n"/>
      <c r="I779" s="6">
        <f>IF(H779&lt;&gt;"",H779,IF(G779="agree",E779,""))</f>
        <v/>
      </c>
    </row>
    <row r="780">
      <c r="A780" s="6" t="inlineStr">
        <is>
          <t>L39</t>
        </is>
      </c>
      <c r="B780" s="6" t="inlineStr">
        <is>
          <t>near-duplicate</t>
        </is>
      </c>
      <c r="C780" s="6" t="inlineStr">
        <is>
          <t>Risk — Data</t>
        </is>
      </c>
      <c r="D780" s="6" t="inlineStr"/>
      <c r="E780" s="6">
        <f>IFERROR(INDEX('Annotator A'!$U$5:$U$44,MATCH($A780,'Annotator A'!$A$5:$A$44,0))&amp;"","")</f>
        <v/>
      </c>
      <c r="F780" s="6">
        <f>IFERROR(INDEX('Annotator B'!$U$5:$U$44,MATCH($A780,'Annotator B'!$A$5:$A$44,0))&amp;"","")</f>
        <v/>
      </c>
      <c r="G780" s="6">
        <f>IF(AND(E780="",F780=""),"",IF(E780=F780,"agree","DIFFER"))</f>
        <v/>
      </c>
      <c r="H780" s="7" t="n"/>
      <c r="I780" s="6">
        <f>IF(H780&lt;&gt;"",H780,IF(G780="agree",E780,""))</f>
        <v/>
      </c>
    </row>
    <row r="781">
      <c r="A781" s="6" t="inlineStr">
        <is>
          <t>L39</t>
        </is>
      </c>
      <c r="B781" s="6" t="inlineStr">
        <is>
          <t>near-duplicate</t>
        </is>
      </c>
      <c r="C781" s="6" t="inlineStr">
        <is>
          <t>Risk — Vendor</t>
        </is>
      </c>
      <c r="D781" s="6" t="inlineStr"/>
      <c r="E781" s="6">
        <f>IFERROR(INDEX('Annotator A'!$V$5:$V$44,MATCH($A781,'Annotator A'!$A$5:$A$44,0))&amp;"","")</f>
        <v/>
      </c>
      <c r="F781" s="6">
        <f>IFERROR(INDEX('Annotator B'!$V$5:$V$44,MATCH($A781,'Annotator B'!$A$5:$A$44,0))&amp;"","")</f>
        <v/>
      </c>
      <c r="G781" s="6">
        <f>IF(AND(E781="",F781=""),"",IF(E781=F781,"agree","DIFFER"))</f>
        <v/>
      </c>
      <c r="H781" s="7" t="n"/>
      <c r="I781" s="6">
        <f>IF(H781&lt;&gt;"",H781,IF(G781="agree",E781,""))</f>
        <v/>
      </c>
    </row>
    <row r="782">
      <c r="A782" s="6" t="inlineStr">
        <is>
          <t>L40</t>
        </is>
      </c>
      <c r="B782" s="6" t="inlineStr">
        <is>
          <t>strong</t>
        </is>
      </c>
      <c r="C782" s="6" t="inlineStr">
        <is>
          <t>Use cases</t>
        </is>
      </c>
      <c r="D782" s="6" t="inlineStr">
        <is>
          <t>automated reminder after inactivity
escalation to approver's manager</t>
        </is>
      </c>
      <c r="E782" s="6">
        <f>IFERROR(INDEX('Annotator A'!$C$5:$C$44,MATCH($A782,'Annotator A'!$A$5:$A$44,0))&amp;"","")</f>
        <v/>
      </c>
      <c r="F782" s="6">
        <f>IFERROR(INDEX('Annotator B'!$C$5:$C$44,MATCH($A782,'Annotator B'!$A$5:$A$44,0))&amp;"","")</f>
        <v/>
      </c>
      <c r="G782" s="6" t="inlineStr">
        <is>
          <t>read both</t>
        </is>
      </c>
      <c r="H782" s="7" t="n"/>
      <c r="I782" s="6">
        <f>IF(H782&lt;&gt;"",H782,"")</f>
        <v/>
      </c>
    </row>
    <row r="783">
      <c r="A783" s="6" t="inlineStr">
        <is>
          <t>L40</t>
        </is>
      </c>
      <c r="B783" s="6" t="inlineStr">
        <is>
          <t>strong</t>
        </is>
      </c>
      <c r="C783" s="6" t="inlineStr">
        <is>
          <t>Value — Business impact</t>
        </is>
      </c>
      <c r="D783" s="6" t="inlineStr"/>
      <c r="E783" s="6">
        <f>IFERROR(INDEX('Annotator A'!$D$5:$D$44,MATCH($A783,'Annotator A'!$A$5:$A$44,0))&amp;"","")</f>
        <v/>
      </c>
      <c r="F783" s="6">
        <f>IFERROR(INDEX('Annotator B'!$D$5:$D$44,MATCH($A783,'Annotator B'!$A$5:$A$44,0))&amp;"","")</f>
        <v/>
      </c>
      <c r="G783" s="6">
        <f>IF(AND(E783="",F783=""),"",IF(E783=F783,"agree","DIFFER"))</f>
        <v/>
      </c>
      <c r="H783" s="7" t="n"/>
      <c r="I783" s="6">
        <f>IF(H783&lt;&gt;"",H783,IF(G783="agree",E783,""))</f>
        <v/>
      </c>
    </row>
    <row r="784">
      <c r="A784" s="6" t="inlineStr">
        <is>
          <t>L40</t>
        </is>
      </c>
      <c r="B784" s="6" t="inlineStr">
        <is>
          <t>strong</t>
        </is>
      </c>
      <c r="C784" s="6" t="inlineStr">
        <is>
          <t>Value — Productivity</t>
        </is>
      </c>
      <c r="D784" s="6" t="inlineStr"/>
      <c r="E784" s="6">
        <f>IFERROR(INDEX('Annotator A'!$E$5:$E$44,MATCH($A784,'Annotator A'!$A$5:$A$44,0))&amp;"","")</f>
        <v/>
      </c>
      <c r="F784" s="6">
        <f>IFERROR(INDEX('Annotator B'!$E$5:$E$44,MATCH($A784,'Annotator B'!$A$5:$A$44,0))&amp;"","")</f>
        <v/>
      </c>
      <c r="G784" s="6">
        <f>IF(AND(E784="",F784=""),"",IF(E784=F784,"agree","DIFFER"))</f>
        <v/>
      </c>
      <c r="H784" s="7" t="n"/>
      <c r="I784" s="6">
        <f>IF(H784&lt;&gt;"",H784,IF(G784="agree",E784,""))</f>
        <v/>
      </c>
    </row>
    <row r="785">
      <c r="A785" s="6" t="inlineStr">
        <is>
          <t>L40</t>
        </is>
      </c>
      <c r="B785" s="6" t="inlineStr">
        <is>
          <t>strong</t>
        </is>
      </c>
      <c r="C785" s="6" t="inlineStr">
        <is>
          <t>Value — Cost reduction</t>
        </is>
      </c>
      <c r="D785" s="6" t="inlineStr"/>
      <c r="E785" s="6">
        <f>IFERROR(INDEX('Annotator A'!$F$5:$F$44,MATCH($A785,'Annotator A'!$A$5:$A$44,0))&amp;"","")</f>
        <v/>
      </c>
      <c r="F785" s="6">
        <f>IFERROR(INDEX('Annotator B'!$F$5:$F$44,MATCH($A785,'Annotator B'!$A$5:$A$44,0))&amp;"","")</f>
        <v/>
      </c>
      <c r="G785" s="6">
        <f>IF(AND(E785="",F785=""),"",IF(E785=F785,"agree","DIFFER"))</f>
        <v/>
      </c>
      <c r="H785" s="7" t="n"/>
      <c r="I785" s="6">
        <f>IF(H785&lt;&gt;"",H785,IF(G785="agree",E785,""))</f>
        <v/>
      </c>
    </row>
    <row r="786">
      <c r="A786" s="6" t="inlineStr">
        <is>
          <t>L40</t>
        </is>
      </c>
      <c r="B786" s="6" t="inlineStr">
        <is>
          <t>strong</t>
        </is>
      </c>
      <c r="C786" s="6" t="inlineStr">
        <is>
          <t>Value — Revenue</t>
        </is>
      </c>
      <c r="D786" s="6" t="inlineStr"/>
      <c r="E786" s="6">
        <f>IFERROR(INDEX('Annotator A'!$G$5:$G$44,MATCH($A786,'Annotator A'!$A$5:$A$44,0))&amp;"","")</f>
        <v/>
      </c>
      <c r="F786" s="6">
        <f>IFERROR(INDEX('Annotator B'!$G$5:$G$44,MATCH($A786,'Annotator B'!$A$5:$A$44,0))&amp;"","")</f>
        <v/>
      </c>
      <c r="G786" s="6">
        <f>IF(AND(E786="",F786=""),"",IF(E786=F786,"agree","DIFFER"))</f>
        <v/>
      </c>
      <c r="H786" s="7" t="n"/>
      <c r="I786" s="6">
        <f>IF(H786&lt;&gt;"",H786,IF(G786="agree",E786,""))</f>
        <v/>
      </c>
    </row>
    <row r="787">
      <c r="A787" s="6" t="inlineStr">
        <is>
          <t>L40</t>
        </is>
      </c>
      <c r="B787" s="6" t="inlineStr">
        <is>
          <t>strong</t>
        </is>
      </c>
      <c r="C787" s="6" t="inlineStr">
        <is>
          <t>Value — Employee experience</t>
        </is>
      </c>
      <c r="D787" s="6" t="inlineStr">
        <is>
          <t>Moderate</t>
        </is>
      </c>
      <c r="E787" s="6">
        <f>IFERROR(INDEX('Annotator A'!$H$5:$H$44,MATCH($A787,'Annotator A'!$A$5:$A$44,0))&amp;"","")</f>
        <v/>
      </c>
      <c r="F787" s="6">
        <f>IFERROR(INDEX('Annotator B'!$H$5:$H$44,MATCH($A787,'Annotator B'!$A$5:$A$44,0))&amp;"","")</f>
        <v/>
      </c>
      <c r="G787" s="6">
        <f>IF(AND(E787="",F787=""),"",IF(E787=F787,"agree","DIFFER"))</f>
        <v/>
      </c>
      <c r="H787" s="7" t="n"/>
      <c r="I787" s="6">
        <f>IF(H787&lt;&gt;"",H787,IF(G787="agree",E787,""))</f>
        <v/>
      </c>
    </row>
    <row r="788">
      <c r="A788" s="6" t="inlineStr">
        <is>
          <t>L40</t>
        </is>
      </c>
      <c r="B788" s="6" t="inlineStr">
        <is>
          <t>strong</t>
        </is>
      </c>
      <c r="C788" s="6" t="inlineStr">
        <is>
          <t>Value — Customer impact</t>
        </is>
      </c>
      <c r="D788" s="6" t="inlineStr"/>
      <c r="E788" s="6">
        <f>IFERROR(INDEX('Annotator A'!$I$5:$I$44,MATCH($A788,'Annotator A'!$A$5:$A$44,0))&amp;"","")</f>
        <v/>
      </c>
      <c r="F788" s="6">
        <f>IFERROR(INDEX('Annotator B'!$I$5:$I$44,MATCH($A788,'Annotator B'!$A$5:$A$44,0))&amp;"","")</f>
        <v/>
      </c>
      <c r="G788" s="6">
        <f>IF(AND(E788="",F788=""),"",IF(E788=F788,"agree","DIFFER"))</f>
        <v/>
      </c>
      <c r="H788" s="7" t="n"/>
      <c r="I788" s="6">
        <f>IF(H788&lt;&gt;"",H788,IF(G788="agree",E788,""))</f>
        <v/>
      </c>
    </row>
    <row r="789">
      <c r="A789" s="6" t="inlineStr">
        <is>
          <t>L40</t>
        </is>
      </c>
      <c r="B789" s="6" t="inlineStr">
        <is>
          <t>strong</t>
        </is>
      </c>
      <c r="C789" s="6" t="inlineStr">
        <is>
          <t>Value — Operational</t>
        </is>
      </c>
      <c r="D789" s="6" t="inlineStr"/>
      <c r="E789" s="6">
        <f>IFERROR(INDEX('Annotator A'!$J$5:$J$44,MATCH($A789,'Annotator A'!$A$5:$A$44,0))&amp;"","")</f>
        <v/>
      </c>
      <c r="F789" s="6">
        <f>IFERROR(INDEX('Annotator B'!$J$5:$J$44,MATCH($A789,'Annotator B'!$A$5:$A$44,0))&amp;"","")</f>
        <v/>
      </c>
      <c r="G789" s="6">
        <f>IF(AND(E789="",F789=""),"",IF(E789=F789,"agree","DIFFER"))</f>
        <v/>
      </c>
      <c r="H789" s="7" t="n"/>
      <c r="I789" s="6">
        <f>IF(H789&lt;&gt;"",H789,IF(G789="agree",E789,""))</f>
        <v/>
      </c>
    </row>
    <row r="790">
      <c r="A790" s="6" t="inlineStr">
        <is>
          <t>L40</t>
        </is>
      </c>
      <c r="B790" s="6" t="inlineStr">
        <is>
          <t>strong</t>
        </is>
      </c>
      <c r="C790" s="6" t="inlineStr">
        <is>
          <t>Value — Problem severity</t>
        </is>
      </c>
      <c r="D790" s="6" t="inlineStr"/>
      <c r="E790" s="6">
        <f>IFERROR(INDEX('Annotator A'!$K$5:$K$44,MATCH($A790,'Annotator A'!$A$5:$A$44,0))&amp;"","")</f>
        <v/>
      </c>
      <c r="F790" s="6">
        <f>IFERROR(INDEX('Annotator B'!$K$5:$K$44,MATCH($A790,'Annotator B'!$A$5:$A$44,0))&amp;"","")</f>
        <v/>
      </c>
      <c r="G790" s="6">
        <f>IF(AND(E790="",F790=""),"",IF(E790=F790,"agree","DIFFER"))</f>
        <v/>
      </c>
      <c r="H790" s="7" t="n"/>
      <c r="I790" s="6">
        <f>IF(H790&lt;&gt;"",H790,IF(G790="agree",E790,""))</f>
        <v/>
      </c>
    </row>
    <row r="791">
      <c r="A791" s="6" t="inlineStr">
        <is>
          <t>L40</t>
        </is>
      </c>
      <c r="B791" s="6" t="inlineStr">
        <is>
          <t>strong</t>
        </is>
      </c>
      <c r="C791" s="6" t="inlineStr">
        <is>
          <t>Value — Problem frequency</t>
        </is>
      </c>
      <c r="D791" s="6" t="inlineStr">
        <is>
          <t>High</t>
        </is>
      </c>
      <c r="E791" s="6">
        <f>IFERROR(INDEX('Annotator A'!$L$5:$L$44,MATCH($A791,'Annotator A'!$A$5:$A$44,0))&amp;"","")</f>
        <v/>
      </c>
      <c r="F791" s="6">
        <f>IFERROR(INDEX('Annotator B'!$L$5:$L$44,MATCH($A791,'Annotator B'!$A$5:$A$44,0))&amp;"","")</f>
        <v/>
      </c>
      <c r="G791" s="6">
        <f>IF(AND(E791="",F791=""),"",IF(E791=F791,"agree","DIFFER"))</f>
        <v/>
      </c>
      <c r="H791" s="7" t="n"/>
      <c r="I791" s="6">
        <f>IF(H791&lt;&gt;"",H791,IF(G791="agree",E791,""))</f>
        <v/>
      </c>
    </row>
    <row r="792">
      <c r="A792" s="6" t="inlineStr">
        <is>
          <t>L40</t>
        </is>
      </c>
      <c r="B792" s="6" t="inlineStr">
        <is>
          <t>strong</t>
        </is>
      </c>
      <c r="C792" s="6" t="inlineStr">
        <is>
          <t>Feasibility status</t>
        </is>
      </c>
      <c r="D792" s="6" t="inlineStr">
        <is>
          <t>HIGHLY_FEASIBLE</t>
        </is>
      </c>
      <c r="E792" s="6">
        <f>IFERROR(INDEX('Annotator A'!$M$5:$M$44,MATCH($A792,'Annotator A'!$A$5:$A$44,0))&amp;"","")</f>
        <v/>
      </c>
      <c r="F792" s="6">
        <f>IFERROR(INDEX('Annotator B'!$M$5:$M$44,MATCH($A792,'Annotator B'!$A$5:$A$44,0))&amp;"","")</f>
        <v/>
      </c>
      <c r="G792" s="6">
        <f>IF(AND(E792="",F792=""),"",IF(E792=F792,"agree","DIFFER"))</f>
        <v/>
      </c>
      <c r="H792" s="7" t="n"/>
      <c r="I792" s="6">
        <f>IF(H792&lt;&gt;"",H792,IF(G792="agree",E792,""))</f>
        <v/>
      </c>
    </row>
    <row r="793">
      <c r="A793" s="6" t="inlineStr">
        <is>
          <t>L40</t>
        </is>
      </c>
      <c r="B793" s="6" t="inlineStr">
        <is>
          <t>strong</t>
        </is>
      </c>
      <c r="C793" s="6" t="inlineStr">
        <is>
          <t>Risk — Technical</t>
        </is>
      </c>
      <c r="D793" s="6" t="inlineStr"/>
      <c r="E793" s="6">
        <f>IFERROR(INDEX('Annotator A'!$N$5:$N$44,MATCH($A793,'Annotator A'!$A$5:$A$44,0))&amp;"","")</f>
        <v/>
      </c>
      <c r="F793" s="6">
        <f>IFERROR(INDEX('Annotator B'!$N$5:$N$44,MATCH($A793,'Annotator B'!$A$5:$A$44,0))&amp;"","")</f>
        <v/>
      </c>
      <c r="G793" s="6">
        <f>IF(AND(E793="",F793=""),"",IF(E793=F793,"agree","DIFFER"))</f>
        <v/>
      </c>
      <c r="H793" s="7" t="n"/>
      <c r="I793" s="6">
        <f>IF(H793&lt;&gt;"",H793,IF(G793="agree",E793,""))</f>
        <v/>
      </c>
    </row>
    <row r="794">
      <c r="A794" s="6" t="inlineStr">
        <is>
          <t>L40</t>
        </is>
      </c>
      <c r="B794" s="6" t="inlineStr">
        <is>
          <t>strong</t>
        </is>
      </c>
      <c r="C794" s="6" t="inlineStr">
        <is>
          <t>Risk — Security</t>
        </is>
      </c>
      <c r="D794" s="6" t="inlineStr"/>
      <c r="E794" s="6">
        <f>IFERROR(INDEX('Annotator A'!$O$5:$O$44,MATCH($A794,'Annotator A'!$A$5:$A$44,0))&amp;"","")</f>
        <v/>
      </c>
      <c r="F794" s="6">
        <f>IFERROR(INDEX('Annotator B'!$O$5:$O$44,MATCH($A794,'Annotator B'!$A$5:$A$44,0))&amp;"","")</f>
        <v/>
      </c>
      <c r="G794" s="6">
        <f>IF(AND(E794="",F794=""),"",IF(E794=F794,"agree","DIFFER"))</f>
        <v/>
      </c>
      <c r="H794" s="7" t="n"/>
      <c r="I794" s="6">
        <f>IF(H794&lt;&gt;"",H794,IF(G794="agree",E794,""))</f>
        <v/>
      </c>
    </row>
    <row r="795">
      <c r="A795" s="6" t="inlineStr">
        <is>
          <t>L40</t>
        </is>
      </c>
      <c r="B795" s="6" t="inlineStr">
        <is>
          <t>strong</t>
        </is>
      </c>
      <c r="C795" s="6" t="inlineStr">
        <is>
          <t>Risk — Privacy</t>
        </is>
      </c>
      <c r="D795" s="6" t="inlineStr"/>
      <c r="E795" s="6">
        <f>IFERROR(INDEX('Annotator A'!$P$5:$P$44,MATCH($A795,'Annotator A'!$A$5:$A$44,0))&amp;"","")</f>
        <v/>
      </c>
      <c r="F795" s="6">
        <f>IFERROR(INDEX('Annotator B'!$P$5:$P$44,MATCH($A795,'Annotator B'!$A$5:$A$44,0))&amp;"","")</f>
        <v/>
      </c>
      <c r="G795" s="6">
        <f>IF(AND(E795="",F795=""),"",IF(E795=F795,"agree","DIFFER"))</f>
        <v/>
      </c>
      <c r="H795" s="7" t="n"/>
      <c r="I795" s="6">
        <f>IF(H795&lt;&gt;"",H795,IF(G795="agree",E795,""))</f>
        <v/>
      </c>
    </row>
    <row r="796">
      <c r="A796" s="6" t="inlineStr">
        <is>
          <t>L40</t>
        </is>
      </c>
      <c r="B796" s="6" t="inlineStr">
        <is>
          <t>strong</t>
        </is>
      </c>
      <c r="C796" s="6" t="inlineStr">
        <is>
          <t>Risk — Compliance</t>
        </is>
      </c>
      <c r="D796" s="6" t="inlineStr"/>
      <c r="E796" s="6">
        <f>IFERROR(INDEX('Annotator A'!$Q$5:$Q$44,MATCH($A796,'Annotator A'!$A$5:$A$44,0))&amp;"","")</f>
        <v/>
      </c>
      <c r="F796" s="6">
        <f>IFERROR(INDEX('Annotator B'!$Q$5:$Q$44,MATCH($A796,'Annotator B'!$A$5:$A$44,0))&amp;"","")</f>
        <v/>
      </c>
      <c r="G796" s="6">
        <f>IF(AND(E796="",F796=""),"",IF(E796=F796,"agree","DIFFER"))</f>
        <v/>
      </c>
      <c r="H796" s="7" t="n"/>
      <c r="I796" s="6">
        <f>IF(H796&lt;&gt;"",H796,IF(G796="agree",E796,""))</f>
        <v/>
      </c>
    </row>
    <row r="797">
      <c r="A797" s="6" t="inlineStr">
        <is>
          <t>L40</t>
        </is>
      </c>
      <c r="B797" s="6" t="inlineStr">
        <is>
          <t>strong</t>
        </is>
      </c>
      <c r="C797" s="6" t="inlineStr">
        <is>
          <t>Risk — Financial</t>
        </is>
      </c>
      <c r="D797" s="6" t="inlineStr"/>
      <c r="E797" s="6">
        <f>IFERROR(INDEX('Annotator A'!$R$5:$R$44,MATCH($A797,'Annotator A'!$A$5:$A$44,0))&amp;"","")</f>
        <v/>
      </c>
      <c r="F797" s="6">
        <f>IFERROR(INDEX('Annotator B'!$R$5:$R$44,MATCH($A797,'Annotator B'!$A$5:$A$44,0))&amp;"","")</f>
        <v/>
      </c>
      <c r="G797" s="6">
        <f>IF(AND(E797="",F797=""),"",IF(E797=F797,"agree","DIFFER"))</f>
        <v/>
      </c>
      <c r="H797" s="7" t="n"/>
      <c r="I797" s="6">
        <f>IF(H797&lt;&gt;"",H797,IF(G797="agree",E797,""))</f>
        <v/>
      </c>
    </row>
    <row r="798">
      <c r="A798" s="6" t="inlineStr">
        <is>
          <t>L40</t>
        </is>
      </c>
      <c r="B798" s="6" t="inlineStr">
        <is>
          <t>strong</t>
        </is>
      </c>
      <c r="C798" s="6" t="inlineStr">
        <is>
          <t>Risk — Operational</t>
        </is>
      </c>
      <c r="D798" s="6" t="inlineStr"/>
      <c r="E798" s="6">
        <f>IFERROR(INDEX('Annotator A'!$S$5:$S$44,MATCH($A798,'Annotator A'!$A$5:$A$44,0))&amp;"","")</f>
        <v/>
      </c>
      <c r="F798" s="6">
        <f>IFERROR(INDEX('Annotator B'!$S$5:$S$44,MATCH($A798,'Annotator B'!$A$5:$A$44,0))&amp;"","")</f>
        <v/>
      </c>
      <c r="G798" s="6">
        <f>IF(AND(E798="",F798=""),"",IF(E798=F798,"agree","DIFFER"))</f>
        <v/>
      </c>
      <c r="H798" s="7" t="n"/>
      <c r="I798" s="6">
        <f>IF(H798&lt;&gt;"",H798,IF(G798="agree",E798,""))</f>
        <v/>
      </c>
    </row>
    <row r="799">
      <c r="A799" s="6" t="inlineStr">
        <is>
          <t>L40</t>
        </is>
      </c>
      <c r="B799" s="6" t="inlineStr">
        <is>
          <t>strong</t>
        </is>
      </c>
      <c r="C799" s="6" t="inlineStr">
        <is>
          <t>Risk — Adoption</t>
        </is>
      </c>
      <c r="D799" s="6" t="inlineStr">
        <is>
          <t>Yes</t>
        </is>
      </c>
      <c r="E799" s="6">
        <f>IFERROR(INDEX('Annotator A'!$T$5:$T$44,MATCH($A799,'Annotator A'!$A$5:$A$44,0))&amp;"","")</f>
        <v/>
      </c>
      <c r="F799" s="6">
        <f>IFERROR(INDEX('Annotator B'!$T$5:$T$44,MATCH($A799,'Annotator B'!$A$5:$A$44,0))&amp;"","")</f>
        <v/>
      </c>
      <c r="G799" s="6">
        <f>IF(AND(E799="",F799=""),"",IF(E799=F799,"agree","DIFFER"))</f>
        <v/>
      </c>
      <c r="H799" s="7" t="n"/>
      <c r="I799" s="6">
        <f>IF(H799&lt;&gt;"",H799,IF(G799="agree",E799,""))</f>
        <v/>
      </c>
    </row>
    <row r="800">
      <c r="A800" s="6" t="inlineStr">
        <is>
          <t>L40</t>
        </is>
      </c>
      <c r="B800" s="6" t="inlineStr">
        <is>
          <t>strong</t>
        </is>
      </c>
      <c r="C800" s="6" t="inlineStr">
        <is>
          <t>Risk — Data</t>
        </is>
      </c>
      <c r="D800" s="6" t="inlineStr"/>
      <c r="E800" s="6">
        <f>IFERROR(INDEX('Annotator A'!$U$5:$U$44,MATCH($A800,'Annotator A'!$A$5:$A$44,0))&amp;"","")</f>
        <v/>
      </c>
      <c r="F800" s="6">
        <f>IFERROR(INDEX('Annotator B'!$U$5:$U$44,MATCH($A800,'Annotator B'!$A$5:$A$44,0))&amp;"","")</f>
        <v/>
      </c>
      <c r="G800" s="6">
        <f>IF(AND(E800="",F800=""),"",IF(E800=F800,"agree","DIFFER"))</f>
        <v/>
      </c>
      <c r="H800" s="7" t="n"/>
      <c r="I800" s="6">
        <f>IF(H800&lt;&gt;"",H800,IF(G800="agree",E800,""))</f>
        <v/>
      </c>
    </row>
    <row r="801">
      <c r="A801" s="6" t="inlineStr">
        <is>
          <t>L40</t>
        </is>
      </c>
      <c r="B801" s="6" t="inlineStr">
        <is>
          <t>strong</t>
        </is>
      </c>
      <c r="C801" s="6" t="inlineStr">
        <is>
          <t>Risk — Vendor</t>
        </is>
      </c>
      <c r="D801" s="6" t="inlineStr"/>
      <c r="E801" s="6">
        <f>IFERROR(INDEX('Annotator A'!$V$5:$V$44,MATCH($A801,'Annotator A'!$A$5:$A$44,0))&amp;"","")</f>
        <v/>
      </c>
      <c r="F801" s="6">
        <f>IFERROR(INDEX('Annotator B'!$V$5:$V$44,MATCH($A801,'Annotator B'!$A$5:$A$44,0))&amp;"","")</f>
        <v/>
      </c>
      <c r="G801" s="6">
        <f>IF(AND(E801="",F801=""),"",IF(E801=F801,"agree","DIFFER"))</f>
        <v/>
      </c>
      <c r="H801" s="7" t="n"/>
      <c r="I801" s="6">
        <f>IF(H801&lt;&gt;"",H801,IF(G801="agree",E801,""))</f>
        <v/>
      </c>
    </row>
  </sheetData>
  <autoFilter ref="A1:I801"/>
  <conditionalFormatting sqref="A2:I801">
    <cfRule type="expression" priority="1" dxfId="0">
      <formula>$G2="DIFFER"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Feasibility</t>
        </is>
      </c>
      <c r="C1" t="inlineStr">
        <is>
          <t>Risk present</t>
        </is>
      </c>
    </row>
    <row r="2">
      <c r="A2" t="inlineStr">
        <is>
          <t>Negligible</t>
        </is>
      </c>
      <c r="B2" t="inlineStr">
        <is>
          <t>HIGHLY_FEASIBLE</t>
        </is>
      </c>
      <c r="C2" t="inlineStr">
        <is>
          <t>Yes</t>
        </is>
      </c>
    </row>
    <row r="3">
      <c r="A3" t="inlineStr">
        <is>
          <t>Low</t>
        </is>
      </c>
      <c r="B3" t="inlineStr">
        <is>
          <t>FEASIBLE_WITH_CONDITIONS</t>
        </is>
      </c>
    </row>
    <row r="4">
      <c r="A4" t="inlineStr">
        <is>
          <t>Moderate</t>
        </is>
      </c>
      <c r="B4" t="inlineStr">
        <is>
          <t>REQUIRES_INVESTIGATION</t>
        </is>
      </c>
    </row>
    <row r="5">
      <c r="A5" t="inlineStr">
        <is>
          <t>High</t>
        </is>
      </c>
      <c r="B5" t="inlineStr">
        <is>
          <t>NOT_CURRENTLY_FEASIBLE</t>
        </is>
      </c>
    </row>
    <row r="6">
      <c r="A6" t="inlineStr">
        <is>
          <t>Very 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4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26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34" customWidth="1" min="23" max="23"/>
  </cols>
  <sheetData>
    <row r="1">
      <c r="A1" s="5" t="inlineStr">
        <is>
          <t>Annotator name:</t>
        </is>
      </c>
      <c r="B1" s="8" t="n"/>
      <c r="D1" s="5" t="inlineStr">
        <is>
          <t>Ideas with a feasibility status entered:</t>
        </is>
      </c>
      <c r="H1" s="5">
        <f>COUNTA(M5:M44)&amp;" of 40"</f>
        <v/>
      </c>
    </row>
    <row r="2">
      <c r="A2" s="9" t="inlineStr">
        <is>
          <t>Yellow cells are yours to fill in. Leave any cell blank if you cannot judge it from the text — blank is not wrong.</t>
        </is>
      </c>
    </row>
    <row r="4" ht="42" customHeight="1">
      <c r="A4" s="4" t="inlineStr">
        <is>
          <t>ID</t>
        </is>
      </c>
      <c r="B4" s="4" t="inlineStr">
        <is>
          <t>Idea title (for reference)</t>
        </is>
      </c>
      <c r="C4" s="4" t="inlineStr">
        <is>
          <t>Use cases — one per line</t>
        </is>
      </c>
      <c r="D4" s="4" t="inlineStr">
        <is>
          <t>Value — Business impact</t>
        </is>
      </c>
      <c r="E4" s="4" t="inlineStr">
        <is>
          <t>Value — Productivity</t>
        </is>
      </c>
      <c r="F4" s="4" t="inlineStr">
        <is>
          <t>Value — Cost reduction</t>
        </is>
      </c>
      <c r="G4" s="4" t="inlineStr">
        <is>
          <t>Value — Revenue</t>
        </is>
      </c>
      <c r="H4" s="4" t="inlineStr">
        <is>
          <t>Value — Employee experience</t>
        </is>
      </c>
      <c r="I4" s="4" t="inlineStr">
        <is>
          <t>Value — Customer impact</t>
        </is>
      </c>
      <c r="J4" s="4" t="inlineStr">
        <is>
          <t>Value — Operational</t>
        </is>
      </c>
      <c r="K4" s="4" t="inlineStr">
        <is>
          <t>Value — Problem severity</t>
        </is>
      </c>
      <c r="L4" s="4" t="inlineStr">
        <is>
          <t>Value — Problem frequency</t>
        </is>
      </c>
      <c r="M4" s="4" t="inlineStr">
        <is>
          <t>Feasibility status</t>
        </is>
      </c>
      <c r="N4" s="4" t="inlineStr">
        <is>
          <t>Risk — Technical</t>
        </is>
      </c>
      <c r="O4" s="4" t="inlineStr">
        <is>
          <t>Risk — Security</t>
        </is>
      </c>
      <c r="P4" s="4" t="inlineStr">
        <is>
          <t>Risk — Privacy</t>
        </is>
      </c>
      <c r="Q4" s="4" t="inlineStr">
        <is>
          <t>Risk — Compliance</t>
        </is>
      </c>
      <c r="R4" s="4" t="inlineStr">
        <is>
          <t>Risk — Financial</t>
        </is>
      </c>
      <c r="S4" s="4" t="inlineStr">
        <is>
          <t>Risk — Operational</t>
        </is>
      </c>
      <c r="T4" s="4" t="inlineStr">
        <is>
          <t>Risk — Adoption</t>
        </is>
      </c>
      <c r="U4" s="4" t="inlineStr">
        <is>
          <t>Risk — Data</t>
        </is>
      </c>
      <c r="V4" s="4" t="inlineStr">
        <is>
          <t>Risk — Vendor</t>
        </is>
      </c>
      <c r="W4" s="4" t="inlineStr">
        <is>
          <t>Notes / doubts (optional)</t>
        </is>
      </c>
    </row>
    <row r="5" ht="60" customHeight="1">
      <c r="A5" s="10" t="inlineStr">
        <is>
          <t>L01</t>
        </is>
      </c>
      <c r="B5" s="6" t="inlineStr">
        <is>
          <t>No one can see where an approval is stuck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</row>
    <row r="6" ht="60" customHeight="1">
      <c r="A6" s="10" t="inlineStr">
        <is>
          <t>L02</t>
        </is>
      </c>
      <c r="B6" s="6" t="inlineStr">
        <is>
          <t>Auto-approve any expense report without manager review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</row>
    <row r="7" ht="60" customHeight="1">
      <c r="A7" s="10" t="inlineStr">
        <is>
          <t>L03</t>
        </is>
      </c>
      <c r="B7" s="6" t="inlineStr">
        <is>
          <t>Speed up approvals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</row>
    <row r="8" ht="60" customHeight="1">
      <c r="A8" s="10" t="inlineStr">
        <is>
          <t>L04</t>
        </is>
      </c>
      <c r="B8" s="6" t="inlineStr">
        <is>
          <t>Fix our messy file storage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</row>
    <row r="9" ht="60" customHeight="1">
      <c r="A9" s="10" t="inlineStr">
        <is>
          <t>L05</t>
        </is>
      </c>
      <c r="B9" s="6" t="inlineStr">
        <is>
          <t>Better reporting</t>
        </is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</row>
    <row r="10" ht="60" customHeight="1">
      <c r="A10" s="10" t="inlineStr">
        <is>
          <t>L06</t>
        </is>
      </c>
      <c r="B10" s="6" t="inlineStr">
        <is>
          <t>Improve data quality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60" customHeight="1">
      <c r="A11" s="10" t="inlineStr">
        <is>
          <t>L07</t>
        </is>
      </c>
      <c r="B11" s="6" t="inlineStr">
        <is>
          <t>Facial-recognition-based attendance tracking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60" customHeight="1">
      <c r="A12" s="10" t="inlineStr">
        <is>
          <t>L08</t>
        </is>
      </c>
      <c r="B12" s="6" t="inlineStr">
        <is>
          <t>New starters wait too long for a laptop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60" customHeight="1">
      <c r="A13" s="10" t="inlineStr">
        <is>
          <t>L09</t>
        </is>
      </c>
      <c r="B13" s="6" t="inlineStr">
        <is>
          <t>Faster laptop provisioning for new hires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60" customHeight="1">
      <c r="A14" s="10" t="inlineStr">
        <is>
          <t>L10</t>
        </is>
      </c>
      <c r="B14" s="6" t="inlineStr">
        <is>
          <t>Clean up the shared drive folder structure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60" customHeight="1">
      <c r="A15" s="10" t="inlineStr">
        <is>
          <t>L11</t>
        </is>
      </c>
      <c r="B15" s="6" t="inlineStr">
        <is>
          <t>Self-service password reset portal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60" customHeight="1">
      <c r="A16" s="10" t="inlineStr">
        <is>
          <t>L12</t>
        </is>
      </c>
      <c r="B16" s="6" t="inlineStr">
        <is>
          <t>Fewer meetings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60" customHeight="1">
      <c r="A17" s="10" t="inlineStr">
        <is>
          <t>L13</t>
        </is>
      </c>
      <c r="B17" s="6" t="inlineStr">
        <is>
          <t>Automatic ticket routing by topic for customer support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60" customHeight="1">
      <c r="A18" s="10" t="inlineStr">
        <is>
          <t>L14</t>
        </is>
      </c>
      <c r="B18" s="6" t="inlineStr">
        <is>
          <t>Do something for customer service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60" customHeight="1">
      <c r="A19" s="10" t="inlineStr">
        <is>
          <t>L15</t>
        </is>
      </c>
      <c r="B19" s="6" t="inlineStr">
        <is>
          <t>Send candidate interview scores to hiring managers' personal email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60" customHeight="1">
      <c r="A20" s="10" t="inlineStr">
        <is>
          <t>L16</t>
        </is>
      </c>
      <c r="B20" s="6" t="inlineStr">
        <is>
          <t>More automation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60" customHeight="1">
      <c r="A21" s="10" t="inlineStr">
        <is>
          <t>L17</t>
        </is>
      </c>
      <c r="B21" s="6" t="inlineStr">
        <is>
          <t>Centralise visibility into where an approval is stuck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60" customHeight="1">
      <c r="A22" s="10" t="inlineStr">
        <is>
          <t>L18</t>
        </is>
      </c>
      <c r="B22" s="6" t="inlineStr">
        <is>
          <t>Automated contract renewal deadline tracker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60" customHeight="1">
      <c r="A23" s="10" t="inlineStr">
        <is>
          <t>L19</t>
        </is>
      </c>
      <c r="B23" s="6" t="inlineStr">
        <is>
          <t>Sentiment analysis on employee email to flag flight risk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60" customHeight="1">
      <c r="A24" s="10" t="inlineStr">
        <is>
          <t>L20</t>
        </is>
      </c>
      <c r="B24" s="6" t="inlineStr">
        <is>
          <t>Real-time location tracking of field staff via personal phones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60" customHeight="1">
      <c r="A25" s="10" t="inlineStr">
        <is>
          <t>L21</t>
        </is>
      </c>
      <c r="B25" s="6" t="inlineStr">
        <is>
          <t>Automated leave-balance calculator with policy validation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60" customHeight="1">
      <c r="A26" s="10" t="inlineStr">
        <is>
          <t>L22</t>
        </is>
      </c>
      <c r="B26" s="6" t="inlineStr">
        <is>
          <t>Automated shift-swap approval workflow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60" customHeight="1">
      <c r="A27" s="10" t="inlineStr">
        <is>
          <t>L23</t>
        </is>
      </c>
      <c r="B27" s="6" t="inlineStr">
        <is>
          <t>Automatic meeting-room conflict detection and resolution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60" customHeight="1">
      <c r="A28" s="10" t="inlineStr">
        <is>
          <t>L24</t>
        </is>
      </c>
      <c r="B28" s="6" t="inlineStr">
        <is>
          <t>Standardise the meeting notes template</t>
        </is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60" customHeight="1">
      <c r="A29" s="10" t="inlineStr">
        <is>
          <t>L25</t>
        </is>
      </c>
      <c r="B29" s="6" t="inlineStr">
        <is>
          <t>Vendor insurance and certification expiry tracker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60" customHeight="1">
      <c r="A30" s="10" t="inlineStr">
        <is>
          <t>L26</t>
        </is>
      </c>
      <c r="B30" s="6" t="inlineStr">
        <is>
          <t>Auto-publish AI-drafted press releases directly to the newsroom</t>
        </is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60" customHeight="1">
      <c r="A31" s="10" t="inlineStr">
        <is>
          <t>L27</t>
        </is>
      </c>
      <c r="B31" s="6" t="inlineStr">
        <is>
          <t>Fix onboarding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60" customHeight="1">
      <c r="A32" s="10" t="inlineStr">
        <is>
          <t>L28</t>
        </is>
      </c>
      <c r="B32" s="6" t="inlineStr">
        <is>
          <t>Improve internal communication</t>
        </is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60" customHeight="1">
      <c r="A33" s="10" t="inlineStr">
        <is>
          <t>L29</t>
        </is>
      </c>
      <c r="B33" s="6" t="inlineStr">
        <is>
          <t>Make things better with AI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60" customHeight="1">
      <c r="A34" s="10" t="inlineStr">
        <is>
          <t>L30</t>
        </is>
      </c>
      <c r="B34" s="6" t="inlineStr">
        <is>
          <t>Meeting notes are inconsistent — need a standard format</t>
        </is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60" customHeight="1">
      <c r="A35" s="10" t="inlineStr">
        <is>
          <t>L31</t>
        </is>
      </c>
      <c r="B35" s="6" t="inlineStr">
        <is>
          <t>Build an in-house payment processor to avoid card-network fees</t>
        </is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60" customHeight="1">
      <c r="A36" s="10" t="inlineStr">
        <is>
          <t>L32</t>
        </is>
      </c>
      <c r="B36" s="6" t="inlineStr">
        <is>
          <t>Move EU employee HR data to a new overseas HR vendor</t>
        </is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60" customHeight="1">
      <c r="A37" s="10" t="inlineStr">
        <is>
          <t>L33</t>
        </is>
      </c>
      <c r="B37" s="6" t="inlineStr">
        <is>
          <t>Central customer identity spreadsheet including SSNs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60" customHeight="1">
      <c r="A38" s="10" t="inlineStr">
        <is>
          <t>L34</t>
        </is>
      </c>
      <c r="B38" s="6" t="inlineStr">
        <is>
          <t>Improve the website</t>
        </is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60" customHeight="1">
      <c r="A39" s="10" t="inlineStr">
        <is>
          <t>L35</t>
        </is>
      </c>
      <c r="B39" s="6" t="inlineStr">
        <is>
          <t>Record every customer call for agent training, without a consent notice</t>
        </is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60" customHeight="1">
      <c r="A40" s="10" t="inlineStr">
        <is>
          <t>L36</t>
        </is>
      </c>
      <c r="B40" s="6" t="inlineStr">
        <is>
          <t>Automated three-way invoice matching for accounts payable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60" customHeight="1">
      <c r="A41" s="10" t="inlineStr">
        <is>
          <t>L37</t>
        </is>
      </c>
      <c r="B41" s="6" t="inlineStr">
        <is>
          <t>Same customer, multiple CRM records — need deduplication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60" customHeight="1">
      <c r="A42" s="10" t="inlineStr">
        <is>
          <t>L38</t>
        </is>
      </c>
      <c r="B42" s="6" t="inlineStr">
        <is>
          <t>Automatic sales lead assignment by territory</t>
        </is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60" customHeight="1">
      <c r="A43" s="10" t="inlineStr">
        <is>
          <t>L39</t>
        </is>
      </c>
      <c r="B43" s="6" t="inlineStr">
        <is>
          <t>Reduce duplicate customer records in the CRM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 ht="60" customHeight="1">
      <c r="A44" s="10" t="inlineStr">
        <is>
          <t>L40</t>
        </is>
      </c>
      <c r="B44" s="6" t="inlineStr">
        <is>
          <t>Automated expense approval reminders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</sheetData>
  <dataValidations count="3">
    <dataValidation sqref="D5:D44 E5:E44 F5:F44 G5:G44 H5:H44 I5:I44 J5:J44 K5:K44 L5:L44" showDropDown="0" showInputMessage="0" showErrorMessage="1" allowBlank="1" errorTitle="Not a band" error="Pick a band from the list, or leave it blank." type="list">
      <formula1>=Lists!$A$2:$A$6</formula1>
    </dataValidation>
    <dataValidation sqref="M5:M44" showDropDown="0" showInputMessage="0" showErrorMessage="1" allowBlank="1" errorTitle="Not a status" error="Pick a status from the list, or leave it blank." type="list">
      <formula1>=Lists!$B$2:$B$5</formula1>
    </dataValidation>
    <dataValidation sqref="N5:N44 O5:O44 P5:P44 Q5:Q44 R5:R44 S5:S44 T5:T44 U5:U44 V5:V44" showDropDown="0" showInputMessage="0" showErrorMessage="1" allowBlank="1" errorTitle="Yes or blank" error="Choose &quot;Yes&quot;, or leave it blank." type="list">
      <formula1>=Lists!$C$2:$C$2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4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26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34" customWidth="1" min="23" max="23"/>
  </cols>
  <sheetData>
    <row r="1">
      <c r="A1" s="5" t="inlineStr">
        <is>
          <t>Annotator name:</t>
        </is>
      </c>
      <c r="B1" s="8" t="n"/>
      <c r="D1" s="5" t="inlineStr">
        <is>
          <t>Ideas with a feasibility status entered:</t>
        </is>
      </c>
      <c r="H1" s="5">
        <f>COUNTA(M5:M44)&amp;" of 40"</f>
        <v/>
      </c>
    </row>
    <row r="2">
      <c r="A2" s="9" t="inlineStr">
        <is>
          <t>Yellow cells are yours to fill in. Leave any cell blank if you cannot judge it from the text — blank is not wrong.</t>
        </is>
      </c>
    </row>
    <row r="4" ht="42" customHeight="1">
      <c r="A4" s="4" t="inlineStr">
        <is>
          <t>ID</t>
        </is>
      </c>
      <c r="B4" s="4" t="inlineStr">
        <is>
          <t>Idea title (for reference)</t>
        </is>
      </c>
      <c r="C4" s="4" t="inlineStr">
        <is>
          <t>Use cases — one per line</t>
        </is>
      </c>
      <c r="D4" s="4" t="inlineStr">
        <is>
          <t>Value — Business impact</t>
        </is>
      </c>
      <c r="E4" s="4" t="inlineStr">
        <is>
          <t>Value — Productivity</t>
        </is>
      </c>
      <c r="F4" s="4" t="inlineStr">
        <is>
          <t>Value — Cost reduction</t>
        </is>
      </c>
      <c r="G4" s="4" t="inlineStr">
        <is>
          <t>Value — Revenue</t>
        </is>
      </c>
      <c r="H4" s="4" t="inlineStr">
        <is>
          <t>Value — Employee experience</t>
        </is>
      </c>
      <c r="I4" s="4" t="inlineStr">
        <is>
          <t>Value — Customer impact</t>
        </is>
      </c>
      <c r="J4" s="4" t="inlineStr">
        <is>
          <t>Value — Operational</t>
        </is>
      </c>
      <c r="K4" s="4" t="inlineStr">
        <is>
          <t>Value — Problem severity</t>
        </is>
      </c>
      <c r="L4" s="4" t="inlineStr">
        <is>
          <t>Value — Problem frequency</t>
        </is>
      </c>
      <c r="M4" s="4" t="inlineStr">
        <is>
          <t>Feasibility status</t>
        </is>
      </c>
      <c r="N4" s="4" t="inlineStr">
        <is>
          <t>Risk — Technical</t>
        </is>
      </c>
      <c r="O4" s="4" t="inlineStr">
        <is>
          <t>Risk — Security</t>
        </is>
      </c>
      <c r="P4" s="4" t="inlineStr">
        <is>
          <t>Risk — Privacy</t>
        </is>
      </c>
      <c r="Q4" s="4" t="inlineStr">
        <is>
          <t>Risk — Compliance</t>
        </is>
      </c>
      <c r="R4" s="4" t="inlineStr">
        <is>
          <t>Risk — Financial</t>
        </is>
      </c>
      <c r="S4" s="4" t="inlineStr">
        <is>
          <t>Risk — Operational</t>
        </is>
      </c>
      <c r="T4" s="4" t="inlineStr">
        <is>
          <t>Risk — Adoption</t>
        </is>
      </c>
      <c r="U4" s="4" t="inlineStr">
        <is>
          <t>Risk — Data</t>
        </is>
      </c>
      <c r="V4" s="4" t="inlineStr">
        <is>
          <t>Risk — Vendor</t>
        </is>
      </c>
      <c r="W4" s="4" t="inlineStr">
        <is>
          <t>Notes / doubts (optional)</t>
        </is>
      </c>
    </row>
    <row r="5" ht="60" customHeight="1">
      <c r="A5" s="10" t="inlineStr">
        <is>
          <t>L01</t>
        </is>
      </c>
      <c r="B5" s="6" t="inlineStr">
        <is>
          <t>No one can see where an approval is stuck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</row>
    <row r="6" ht="60" customHeight="1">
      <c r="A6" s="10" t="inlineStr">
        <is>
          <t>L02</t>
        </is>
      </c>
      <c r="B6" s="6" t="inlineStr">
        <is>
          <t>Auto-approve any expense report without manager review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</row>
    <row r="7" ht="60" customHeight="1">
      <c r="A7" s="10" t="inlineStr">
        <is>
          <t>L03</t>
        </is>
      </c>
      <c r="B7" s="6" t="inlineStr">
        <is>
          <t>Speed up approvals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</row>
    <row r="8" ht="60" customHeight="1">
      <c r="A8" s="10" t="inlineStr">
        <is>
          <t>L04</t>
        </is>
      </c>
      <c r="B8" s="6" t="inlineStr">
        <is>
          <t>Fix our messy file storage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</row>
    <row r="9" ht="60" customHeight="1">
      <c r="A9" s="10" t="inlineStr">
        <is>
          <t>L05</t>
        </is>
      </c>
      <c r="B9" s="6" t="inlineStr">
        <is>
          <t>Better reporting</t>
        </is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</row>
    <row r="10" ht="60" customHeight="1">
      <c r="A10" s="10" t="inlineStr">
        <is>
          <t>L06</t>
        </is>
      </c>
      <c r="B10" s="6" t="inlineStr">
        <is>
          <t>Improve data quality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60" customHeight="1">
      <c r="A11" s="10" t="inlineStr">
        <is>
          <t>L07</t>
        </is>
      </c>
      <c r="B11" s="6" t="inlineStr">
        <is>
          <t>Facial-recognition-based attendance tracking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60" customHeight="1">
      <c r="A12" s="10" t="inlineStr">
        <is>
          <t>L08</t>
        </is>
      </c>
      <c r="B12" s="6" t="inlineStr">
        <is>
          <t>New starters wait too long for a laptop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60" customHeight="1">
      <c r="A13" s="10" t="inlineStr">
        <is>
          <t>L09</t>
        </is>
      </c>
      <c r="B13" s="6" t="inlineStr">
        <is>
          <t>Faster laptop provisioning for new hires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60" customHeight="1">
      <c r="A14" s="10" t="inlineStr">
        <is>
          <t>L10</t>
        </is>
      </c>
      <c r="B14" s="6" t="inlineStr">
        <is>
          <t>Clean up the shared drive folder structure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60" customHeight="1">
      <c r="A15" s="10" t="inlineStr">
        <is>
          <t>L11</t>
        </is>
      </c>
      <c r="B15" s="6" t="inlineStr">
        <is>
          <t>Self-service password reset portal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60" customHeight="1">
      <c r="A16" s="10" t="inlineStr">
        <is>
          <t>L12</t>
        </is>
      </c>
      <c r="B16" s="6" t="inlineStr">
        <is>
          <t>Fewer meetings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60" customHeight="1">
      <c r="A17" s="10" t="inlineStr">
        <is>
          <t>L13</t>
        </is>
      </c>
      <c r="B17" s="6" t="inlineStr">
        <is>
          <t>Automatic ticket routing by topic for customer support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60" customHeight="1">
      <c r="A18" s="10" t="inlineStr">
        <is>
          <t>L14</t>
        </is>
      </c>
      <c r="B18" s="6" t="inlineStr">
        <is>
          <t>Do something for customer service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60" customHeight="1">
      <c r="A19" s="10" t="inlineStr">
        <is>
          <t>L15</t>
        </is>
      </c>
      <c r="B19" s="6" t="inlineStr">
        <is>
          <t>Send candidate interview scores to hiring managers' personal email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60" customHeight="1">
      <c r="A20" s="10" t="inlineStr">
        <is>
          <t>L16</t>
        </is>
      </c>
      <c r="B20" s="6" t="inlineStr">
        <is>
          <t>More automation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60" customHeight="1">
      <c r="A21" s="10" t="inlineStr">
        <is>
          <t>L17</t>
        </is>
      </c>
      <c r="B21" s="6" t="inlineStr">
        <is>
          <t>Centralise visibility into where an approval is stuck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60" customHeight="1">
      <c r="A22" s="10" t="inlineStr">
        <is>
          <t>L18</t>
        </is>
      </c>
      <c r="B22" s="6" t="inlineStr">
        <is>
          <t>Automated contract renewal deadline tracker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60" customHeight="1">
      <c r="A23" s="10" t="inlineStr">
        <is>
          <t>L19</t>
        </is>
      </c>
      <c r="B23" s="6" t="inlineStr">
        <is>
          <t>Sentiment analysis on employee email to flag flight risk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60" customHeight="1">
      <c r="A24" s="10" t="inlineStr">
        <is>
          <t>L20</t>
        </is>
      </c>
      <c r="B24" s="6" t="inlineStr">
        <is>
          <t>Real-time location tracking of field staff via personal phones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60" customHeight="1">
      <c r="A25" s="10" t="inlineStr">
        <is>
          <t>L21</t>
        </is>
      </c>
      <c r="B25" s="6" t="inlineStr">
        <is>
          <t>Automated leave-balance calculator with policy validation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60" customHeight="1">
      <c r="A26" s="10" t="inlineStr">
        <is>
          <t>L22</t>
        </is>
      </c>
      <c r="B26" s="6" t="inlineStr">
        <is>
          <t>Automated shift-swap approval workflow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60" customHeight="1">
      <c r="A27" s="10" t="inlineStr">
        <is>
          <t>L23</t>
        </is>
      </c>
      <c r="B27" s="6" t="inlineStr">
        <is>
          <t>Automatic meeting-room conflict detection and resolution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60" customHeight="1">
      <c r="A28" s="10" t="inlineStr">
        <is>
          <t>L24</t>
        </is>
      </c>
      <c r="B28" s="6" t="inlineStr">
        <is>
          <t>Standardise the meeting notes template</t>
        </is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60" customHeight="1">
      <c r="A29" s="10" t="inlineStr">
        <is>
          <t>L25</t>
        </is>
      </c>
      <c r="B29" s="6" t="inlineStr">
        <is>
          <t>Vendor insurance and certification expiry tracker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60" customHeight="1">
      <c r="A30" s="10" t="inlineStr">
        <is>
          <t>L26</t>
        </is>
      </c>
      <c r="B30" s="6" t="inlineStr">
        <is>
          <t>Auto-publish AI-drafted press releases directly to the newsroom</t>
        </is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60" customHeight="1">
      <c r="A31" s="10" t="inlineStr">
        <is>
          <t>L27</t>
        </is>
      </c>
      <c r="B31" s="6" t="inlineStr">
        <is>
          <t>Fix onboarding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60" customHeight="1">
      <c r="A32" s="10" t="inlineStr">
        <is>
          <t>L28</t>
        </is>
      </c>
      <c r="B32" s="6" t="inlineStr">
        <is>
          <t>Improve internal communication</t>
        </is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60" customHeight="1">
      <c r="A33" s="10" t="inlineStr">
        <is>
          <t>L29</t>
        </is>
      </c>
      <c r="B33" s="6" t="inlineStr">
        <is>
          <t>Make things better with AI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60" customHeight="1">
      <c r="A34" s="10" t="inlineStr">
        <is>
          <t>L30</t>
        </is>
      </c>
      <c r="B34" s="6" t="inlineStr">
        <is>
          <t>Meeting notes are inconsistent — need a standard format</t>
        </is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60" customHeight="1">
      <c r="A35" s="10" t="inlineStr">
        <is>
          <t>L31</t>
        </is>
      </c>
      <c r="B35" s="6" t="inlineStr">
        <is>
          <t>Build an in-house payment processor to avoid card-network fees</t>
        </is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60" customHeight="1">
      <c r="A36" s="10" t="inlineStr">
        <is>
          <t>L32</t>
        </is>
      </c>
      <c r="B36" s="6" t="inlineStr">
        <is>
          <t>Move EU employee HR data to a new overseas HR vendor</t>
        </is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60" customHeight="1">
      <c r="A37" s="10" t="inlineStr">
        <is>
          <t>L33</t>
        </is>
      </c>
      <c r="B37" s="6" t="inlineStr">
        <is>
          <t>Central customer identity spreadsheet including SSNs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60" customHeight="1">
      <c r="A38" s="10" t="inlineStr">
        <is>
          <t>L34</t>
        </is>
      </c>
      <c r="B38" s="6" t="inlineStr">
        <is>
          <t>Improve the website</t>
        </is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60" customHeight="1">
      <c r="A39" s="10" t="inlineStr">
        <is>
          <t>L35</t>
        </is>
      </c>
      <c r="B39" s="6" t="inlineStr">
        <is>
          <t>Record every customer call for agent training, without a consent notice</t>
        </is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60" customHeight="1">
      <c r="A40" s="10" t="inlineStr">
        <is>
          <t>L36</t>
        </is>
      </c>
      <c r="B40" s="6" t="inlineStr">
        <is>
          <t>Automated three-way invoice matching for accounts payable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60" customHeight="1">
      <c r="A41" s="10" t="inlineStr">
        <is>
          <t>L37</t>
        </is>
      </c>
      <c r="B41" s="6" t="inlineStr">
        <is>
          <t>Same customer, multiple CRM records — need deduplication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60" customHeight="1">
      <c r="A42" s="10" t="inlineStr">
        <is>
          <t>L38</t>
        </is>
      </c>
      <c r="B42" s="6" t="inlineStr">
        <is>
          <t>Automatic sales lead assignment by territory</t>
        </is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60" customHeight="1">
      <c r="A43" s="10" t="inlineStr">
        <is>
          <t>L39</t>
        </is>
      </c>
      <c r="B43" s="6" t="inlineStr">
        <is>
          <t>Reduce duplicate customer records in the CRM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 ht="60" customHeight="1">
      <c r="A44" s="10" t="inlineStr">
        <is>
          <t>L40</t>
        </is>
      </c>
      <c r="B44" s="6" t="inlineStr">
        <is>
          <t>Automated expense approval reminders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</sheetData>
  <dataValidations count="3">
    <dataValidation sqref="D5:D44 E5:E44 F5:F44 G5:G44 H5:H44 I5:I44 J5:J44 K5:K44 L5:L44" showDropDown="0" showInputMessage="0" showErrorMessage="1" allowBlank="1" errorTitle="Not a band" error="Pick a band from the list, or leave it blank." type="list">
      <formula1>=Lists!$A$2:$A$6</formula1>
    </dataValidation>
    <dataValidation sqref="M5:M44" showDropDown="0" showInputMessage="0" showErrorMessage="1" allowBlank="1" errorTitle="Not a status" error="Pick a status from the list, or leave it blank." type="list">
      <formula1>=Lists!$B$2:$B$5</formula1>
    </dataValidation>
    <dataValidation sqref="N5:N44 O5:O44 P5:P44 Q5:Q44 R5:R44 S5:S44 T5:T44 U5:U44 V5:V44" showDropDown="0" showInputMessage="0" showErrorMessage="1" allowBlank="1" errorTitle="Yes or blank" error="Choose &quot;Yes&quot;, or leave it blank." type="list">
      <formula1>=Lists!$C$2:$C$2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16" customWidth="1" min="3" max="3"/>
    <col width="50" customWidth="1" min="4" max="4"/>
  </cols>
  <sheetData>
    <row r="1">
      <c r="A1" s="4" t="inlineStr">
        <is>
          <t>ID</t>
        </is>
      </c>
      <c r="B1" s="4" t="inlineStr">
        <is>
          <t>Case name in tests/evals/cases.ts</t>
        </is>
      </c>
      <c r="C1" s="4" t="inlineStr">
        <is>
          <t>SPEC group</t>
        </is>
      </c>
      <c r="D1" s="4" t="inlineStr">
        <is>
          <t>Title</t>
        </is>
      </c>
    </row>
    <row r="2">
      <c r="A2" s="11" t="inlineStr">
        <is>
          <t>L01</t>
        </is>
      </c>
      <c r="B2" s="11" t="inlineStr">
        <is>
          <t>near-duplicate (2 of 2) — no one can see where an approval is stuck</t>
        </is>
      </c>
      <c r="C2" s="11" t="inlineStr">
        <is>
          <t>near-duplicate</t>
        </is>
      </c>
      <c r="D2" s="11" t="inlineStr">
        <is>
          <t>No one can see where an approval is stuck</t>
        </is>
      </c>
    </row>
    <row r="3">
      <c r="A3" s="11" t="inlineStr">
        <is>
          <t>L02</t>
        </is>
      </c>
      <c r="B3" s="11" t="inlineStr">
        <is>
          <t>infeasible — auto-approving expenses with no review, against financial controls</t>
        </is>
      </c>
      <c r="C3" s="11" t="inlineStr">
        <is>
          <t>infeasible</t>
        </is>
      </c>
      <c r="D3" s="11" t="inlineStr">
        <is>
          <t>Auto-approve any expense report without manager review</t>
        </is>
      </c>
    </row>
    <row r="4">
      <c r="A4" s="11" t="inlineStr">
        <is>
          <t>L03</t>
        </is>
      </c>
      <c r="B4" s="11" t="inlineStr">
        <is>
          <t>vague — speed up approvals, unspecified</t>
        </is>
      </c>
      <c r="C4" s="11" t="inlineStr">
        <is>
          <t>vague</t>
        </is>
      </c>
      <c r="D4" s="11" t="inlineStr">
        <is>
          <t>Speed up approvals</t>
        </is>
      </c>
    </row>
    <row r="5">
      <c r="A5" s="11" t="inlineStr">
        <is>
          <t>L04</t>
        </is>
      </c>
      <c r="B5" s="11" t="inlineStr">
        <is>
          <t>near-duplicate (2 of 2) — same problem, phrased independently</t>
        </is>
      </c>
      <c r="C5" s="11" t="inlineStr">
        <is>
          <t>near-duplicate</t>
        </is>
      </c>
      <c r="D5" s="11" t="inlineStr">
        <is>
          <t>Fix our messy file storage</t>
        </is>
      </c>
    </row>
    <row r="6">
      <c r="A6" s="11" t="inlineStr">
        <is>
          <t>L05</t>
        </is>
      </c>
      <c r="B6" s="11" t="inlineStr">
        <is>
          <t>vague — better reporting, no specifics</t>
        </is>
      </c>
      <c r="C6" s="11" t="inlineStr">
        <is>
          <t>vague</t>
        </is>
      </c>
      <c r="D6" s="11" t="inlineStr">
        <is>
          <t>Better reporting</t>
        </is>
      </c>
    </row>
    <row r="7">
      <c r="A7" s="11" t="inlineStr">
        <is>
          <t>L06</t>
        </is>
      </c>
      <c r="B7" s="11" t="inlineStr">
        <is>
          <t>vague — improve data quality, unspecified</t>
        </is>
      </c>
      <c r="C7" s="11" t="inlineStr">
        <is>
          <t>vague</t>
        </is>
      </c>
      <c r="D7" s="11" t="inlineStr">
        <is>
          <t>Improve data quality</t>
        </is>
      </c>
    </row>
    <row r="8">
      <c r="A8" s="11" t="inlineStr">
        <is>
          <t>L07</t>
        </is>
      </c>
      <c r="B8" s="11" t="inlineStr">
        <is>
          <t>infeasible — biometric attendance tracking against a stated policy constraint</t>
        </is>
      </c>
      <c r="C8" s="11" t="inlineStr">
        <is>
          <t>infeasible</t>
        </is>
      </c>
      <c r="D8" s="11" t="inlineStr">
        <is>
          <t>Facial-recognition-based attendance tracking</t>
        </is>
      </c>
    </row>
    <row r="9">
      <c r="A9" s="11" t="inlineStr">
        <is>
          <t>L08</t>
        </is>
      </c>
      <c r="B9" s="11" t="inlineStr">
        <is>
          <t>near-duplicate (2 of 2) — new starters wait too long for a laptop</t>
        </is>
      </c>
      <c r="C9" s="11" t="inlineStr">
        <is>
          <t>near-duplicate</t>
        </is>
      </c>
      <c r="D9" s="11" t="inlineStr">
        <is>
          <t>New starters wait too long for a laptop</t>
        </is>
      </c>
    </row>
    <row r="10">
      <c r="A10" s="11" t="inlineStr">
        <is>
          <t>L09</t>
        </is>
      </c>
      <c r="B10" s="11" t="inlineStr">
        <is>
          <t>near-duplicate (1 of 2) — faster laptop provisioning for new hires</t>
        </is>
      </c>
      <c r="C10" s="11" t="inlineStr">
        <is>
          <t>near-duplicate</t>
        </is>
      </c>
      <c r="D10" s="11" t="inlineStr">
        <is>
          <t>Faster laptop provisioning for new hires</t>
        </is>
      </c>
    </row>
    <row r="11">
      <c r="A11" s="11" t="inlineStr">
        <is>
          <t>L10</t>
        </is>
      </c>
      <c r="B11" s="11" t="inlineStr">
        <is>
          <t>near-duplicate (1 of 2) — shared drive folder cleanup</t>
        </is>
      </c>
      <c r="C11" s="11" t="inlineStr">
        <is>
          <t>near-duplicate</t>
        </is>
      </c>
      <c r="D11" s="11" t="inlineStr">
        <is>
          <t>Clean up the shared drive folder structure</t>
        </is>
      </c>
    </row>
    <row r="12">
      <c r="A12" s="11" t="inlineStr">
        <is>
          <t>L11</t>
        </is>
      </c>
      <c r="B12" s="11" t="inlineStr">
        <is>
          <t>well-specified — self-service password reset</t>
        </is>
      </c>
      <c r="C12" s="11" t="inlineStr">
        <is>
          <t>strong</t>
        </is>
      </c>
      <c r="D12" s="11" t="inlineStr">
        <is>
          <t>Self-service password reset portal</t>
        </is>
      </c>
    </row>
    <row r="13">
      <c r="A13" s="11" t="inlineStr">
        <is>
          <t>L12</t>
        </is>
      </c>
      <c r="B13" s="11" t="inlineStr">
        <is>
          <t>vague — fewer meetings, unspecified</t>
        </is>
      </c>
      <c r="C13" s="11" t="inlineStr">
        <is>
          <t>vague</t>
        </is>
      </c>
      <c r="D13" s="11" t="inlineStr">
        <is>
          <t>Fewer meetings</t>
        </is>
      </c>
    </row>
    <row r="14">
      <c r="A14" s="11" t="inlineStr">
        <is>
          <t>L13</t>
        </is>
      </c>
      <c r="B14" s="11" t="inlineStr">
        <is>
          <t>well-specified — customer support ticket auto-routing by topic</t>
        </is>
      </c>
      <c r="C14" s="11" t="inlineStr">
        <is>
          <t>strong</t>
        </is>
      </c>
      <c r="D14" s="11" t="inlineStr">
        <is>
          <t>Automatic ticket routing by topic for customer support</t>
        </is>
      </c>
    </row>
    <row r="15">
      <c r="A15" s="11" t="inlineStr">
        <is>
          <t>L14</t>
        </is>
      </c>
      <c r="B15" s="11" t="inlineStr">
        <is>
          <t>vague — customer service, unspecified</t>
        </is>
      </c>
      <c r="C15" s="11" t="inlineStr">
        <is>
          <t>vague</t>
        </is>
      </c>
      <c r="D15" s="11" t="inlineStr">
        <is>
          <t>Do something for customer service</t>
        </is>
      </c>
    </row>
    <row r="16">
      <c r="A16" s="11" t="inlineStr">
        <is>
          <t>L15</t>
        </is>
      </c>
      <c r="B16" s="11" t="inlineStr">
        <is>
          <t>infeasible — candidate interview scores sent to a hiring manager's personal email</t>
        </is>
      </c>
      <c r="C16" s="11" t="inlineStr">
        <is>
          <t>infeasible</t>
        </is>
      </c>
      <c r="D16" s="11" t="inlineStr">
        <is>
          <t>Send candidate interview scores to hiring managers' personal email</t>
        </is>
      </c>
    </row>
    <row r="17">
      <c r="A17" s="11" t="inlineStr">
        <is>
          <t>L16</t>
        </is>
      </c>
      <c r="B17" s="11" t="inlineStr">
        <is>
          <t>vague — more automation, unspecified</t>
        </is>
      </c>
      <c r="C17" s="11" t="inlineStr">
        <is>
          <t>vague</t>
        </is>
      </c>
      <c r="D17" s="11" t="inlineStr">
        <is>
          <t>More automation</t>
        </is>
      </c>
    </row>
    <row r="18">
      <c r="A18" s="11" t="inlineStr">
        <is>
          <t>L17</t>
        </is>
      </c>
      <c r="B18" s="11" t="inlineStr">
        <is>
          <t>near-duplicate (1 of 2) — centralise visibility into a stuck approval</t>
        </is>
      </c>
      <c r="C18" s="11" t="inlineStr">
        <is>
          <t>near-duplicate</t>
        </is>
      </c>
      <c r="D18" s="11" t="inlineStr">
        <is>
          <t>Centralise visibility into where an approval is stuck</t>
        </is>
      </c>
    </row>
    <row r="19">
      <c r="A19" s="11" t="inlineStr">
        <is>
          <t>L18</t>
        </is>
      </c>
      <c r="B19" s="11" t="inlineStr">
        <is>
          <t>well-specified — supplier contract renewal deadline tracker</t>
        </is>
      </c>
      <c r="C19" s="11" t="inlineStr">
        <is>
          <t>strong</t>
        </is>
      </c>
      <c r="D19" s="11" t="inlineStr">
        <is>
          <t>Automated contract renewal deadline tracker</t>
        </is>
      </c>
    </row>
    <row r="20">
      <c r="A20" s="11" t="inlineStr">
        <is>
          <t>L19</t>
        </is>
      </c>
      <c r="B20" s="11" t="inlineStr">
        <is>
          <t>infeasible — sentiment analysis on private employee email against comms policy</t>
        </is>
      </c>
      <c r="C20" s="11" t="inlineStr">
        <is>
          <t>infeasible</t>
        </is>
      </c>
      <c r="D20" s="11" t="inlineStr">
        <is>
          <t>Sentiment analysis on employee email to flag flight risk</t>
        </is>
      </c>
    </row>
    <row r="21">
      <c r="A21" s="11" t="inlineStr">
        <is>
          <t>L20</t>
        </is>
      </c>
      <c r="B21" s="11" t="inlineStr">
        <is>
          <t>infeasible — real-time GPS tracking of personal phones with no consent mechanism</t>
        </is>
      </c>
      <c r="C21" s="11" t="inlineStr">
        <is>
          <t>infeasible</t>
        </is>
      </c>
      <c r="D21" s="11" t="inlineStr">
        <is>
          <t>Real-time location tracking of field staff via personal phones</t>
        </is>
      </c>
    </row>
    <row r="22">
      <c r="A22" s="11" t="inlineStr">
        <is>
          <t>L21</t>
        </is>
      </c>
      <c r="B22" s="11" t="inlineStr">
        <is>
          <t>well-specified — leave-balance calculator with policy validation</t>
        </is>
      </c>
      <c r="C22" s="11" t="inlineStr">
        <is>
          <t>strong</t>
        </is>
      </c>
      <c r="D22" s="11" t="inlineStr">
        <is>
          <t>Automated leave-balance calculator with policy validation</t>
        </is>
      </c>
    </row>
    <row r="23">
      <c r="A23" s="11" t="inlineStr">
        <is>
          <t>L22</t>
        </is>
      </c>
      <c r="B23" s="11" t="inlineStr">
        <is>
          <t>well-specified — automated shift-swap approval workflow</t>
        </is>
      </c>
      <c r="C23" s="11" t="inlineStr">
        <is>
          <t>strong</t>
        </is>
      </c>
      <c r="D23" s="11" t="inlineStr">
        <is>
          <t>Automated shift-swap approval workflow</t>
        </is>
      </c>
    </row>
    <row r="24">
      <c r="A24" s="11" t="inlineStr">
        <is>
          <t>L23</t>
        </is>
      </c>
      <c r="B24" s="11" t="inlineStr">
        <is>
          <t>well-specified — meeting-room double-booking resolution</t>
        </is>
      </c>
      <c r="C24" s="11" t="inlineStr">
        <is>
          <t>strong</t>
        </is>
      </c>
      <c r="D24" s="11" t="inlineStr">
        <is>
          <t>Automatic meeting-room conflict detection and resolution</t>
        </is>
      </c>
    </row>
    <row r="25">
      <c r="A25" s="11" t="inlineStr">
        <is>
          <t>L24</t>
        </is>
      </c>
      <c r="B25" s="11" t="inlineStr">
        <is>
          <t>near-duplicate (1 of 2) — standardise the meeting notes template</t>
        </is>
      </c>
      <c r="C25" s="11" t="inlineStr">
        <is>
          <t>near-duplicate</t>
        </is>
      </c>
      <c r="D25" s="11" t="inlineStr">
        <is>
          <t>Standardise the meeting notes template</t>
        </is>
      </c>
    </row>
    <row r="26">
      <c r="A26" s="11" t="inlineStr">
        <is>
          <t>L25</t>
        </is>
      </c>
      <c r="B26" s="11" t="inlineStr">
        <is>
          <t>well-specified — vendor insurance and certification expiry tracker</t>
        </is>
      </c>
      <c r="C26" s="11" t="inlineStr">
        <is>
          <t>strong</t>
        </is>
      </c>
      <c r="D26" s="11" t="inlineStr">
        <is>
          <t>Vendor insurance and certification expiry tracker</t>
        </is>
      </c>
    </row>
    <row r="27">
      <c r="A27" s="11" t="inlineStr">
        <is>
          <t>L26</t>
        </is>
      </c>
      <c r="B27" s="11" t="inlineStr">
        <is>
          <t>infeasible — auto-publishing AI-drafted press releases without legal review</t>
        </is>
      </c>
      <c r="C27" s="11" t="inlineStr">
        <is>
          <t>infeasible</t>
        </is>
      </c>
      <c r="D27" s="11" t="inlineStr">
        <is>
          <t>Auto-publish AI-drafted press releases directly to the newsroom</t>
        </is>
      </c>
    </row>
    <row r="28">
      <c r="A28" s="11" t="inlineStr">
        <is>
          <t>L27</t>
        </is>
      </c>
      <c r="B28" s="11" t="inlineStr">
        <is>
          <t>vague — fix onboarding, no specifics</t>
        </is>
      </c>
      <c r="C28" s="11" t="inlineStr">
        <is>
          <t>vague</t>
        </is>
      </c>
      <c r="D28" s="11" t="inlineStr">
        <is>
          <t>Fix onboarding</t>
        </is>
      </c>
    </row>
    <row r="29">
      <c r="A29" s="11" t="inlineStr">
        <is>
          <t>L28</t>
        </is>
      </c>
      <c r="B29" s="11" t="inlineStr">
        <is>
          <t>vague — communication is bad, fix it, no further detail offered</t>
        </is>
      </c>
      <c r="C29" s="11" t="inlineStr">
        <is>
          <t>vague</t>
        </is>
      </c>
      <c r="D29" s="11" t="inlineStr">
        <is>
          <t>Improve internal communication</t>
        </is>
      </c>
    </row>
    <row r="30">
      <c r="A30" s="11" t="inlineStr">
        <is>
          <t>L29</t>
        </is>
      </c>
      <c r="B30" s="11" t="inlineStr">
        <is>
          <t>vague — underspecified idea should surface real questions, not invent detail</t>
        </is>
      </c>
      <c r="C30" s="11" t="inlineStr">
        <is>
          <t>vague</t>
        </is>
      </c>
      <c r="D30" s="11" t="inlineStr">
        <is>
          <t>Make things better with AI</t>
        </is>
      </c>
    </row>
    <row r="31">
      <c r="A31" s="11" t="inlineStr">
        <is>
          <t>L30</t>
        </is>
      </c>
      <c r="B31" s="11" t="inlineStr">
        <is>
          <t>near-duplicate (2 of 2) — meeting notes are inconsistent, need a standard format</t>
        </is>
      </c>
      <c r="C31" s="11" t="inlineStr">
        <is>
          <t>near-duplicate</t>
        </is>
      </c>
      <c r="D31" s="11" t="inlineStr">
        <is>
          <t>Meeting notes are inconsistent — need a standard format</t>
        </is>
      </c>
    </row>
    <row r="32">
      <c r="A32" s="11" t="inlineStr">
        <is>
          <t>L31</t>
        </is>
      </c>
      <c r="B32" s="11" t="inlineStr">
        <is>
          <t>infeasible — in-house payment processor to avoid PCI-DSS certification</t>
        </is>
      </c>
      <c r="C32" s="11" t="inlineStr">
        <is>
          <t>infeasible</t>
        </is>
      </c>
      <c r="D32" s="11" t="inlineStr">
        <is>
          <t>Build an in-house payment processor to avoid card-network fees</t>
        </is>
      </c>
    </row>
    <row r="33">
      <c r="A33" s="11" t="inlineStr">
        <is>
          <t>L32</t>
        </is>
      </c>
      <c r="B33" s="11" t="inlineStr">
        <is>
          <t>infeasible — cross-border transfer of EU employee data to an unapproved vendor</t>
        </is>
      </c>
      <c r="C33" s="11" t="inlineStr">
        <is>
          <t>infeasible</t>
        </is>
      </c>
      <c r="D33" s="11" t="inlineStr">
        <is>
          <t>Move EU employee HR data to a new overseas HR vendor</t>
        </is>
      </c>
    </row>
    <row r="34">
      <c r="A34" s="11" t="inlineStr">
        <is>
          <t>L33</t>
        </is>
      </c>
      <c r="B34" s="11" t="inlineStr">
        <is>
          <t>infeasible — unencrypted customer SSNs in a shared spreadsheet</t>
        </is>
      </c>
      <c r="C34" s="11" t="inlineStr">
        <is>
          <t>infeasible</t>
        </is>
      </c>
      <c r="D34" s="11" t="inlineStr">
        <is>
          <t>Central customer identity spreadsheet including SSNs</t>
        </is>
      </c>
    </row>
    <row r="35">
      <c r="A35" s="11" t="inlineStr">
        <is>
          <t>L34</t>
        </is>
      </c>
      <c r="B35" s="11" t="inlineStr">
        <is>
          <t>vague — nicer website, unspecified</t>
        </is>
      </c>
      <c r="C35" s="11" t="inlineStr">
        <is>
          <t>vague</t>
        </is>
      </c>
      <c r="D35" s="11" t="inlineStr">
        <is>
          <t>Improve the website</t>
        </is>
      </c>
    </row>
    <row r="36">
      <c r="A36" s="11" t="inlineStr">
        <is>
          <t>L35</t>
        </is>
      </c>
      <c r="B36" s="11" t="inlineStr">
        <is>
          <t>infeasible — recording customer calls with no consent notice</t>
        </is>
      </c>
      <c r="C36" s="11" t="inlineStr">
        <is>
          <t>infeasible</t>
        </is>
      </c>
      <c r="D36" s="11" t="inlineStr">
        <is>
          <t>Record every customer call for agent training, without a consent notice</t>
        </is>
      </c>
    </row>
    <row r="37">
      <c r="A37" s="11" t="inlineStr">
        <is>
          <t>L36</t>
        </is>
      </c>
      <c r="B37" s="11" t="inlineStr">
        <is>
          <t>well-specified — three-way invoice matching for accounts payable</t>
        </is>
      </c>
      <c r="C37" s="11" t="inlineStr">
        <is>
          <t>strong</t>
        </is>
      </c>
      <c r="D37" s="11" t="inlineStr">
        <is>
          <t>Automated three-way invoice matching for accounts payable</t>
        </is>
      </c>
    </row>
    <row r="38">
      <c r="A38" s="11" t="inlineStr">
        <is>
          <t>L37</t>
        </is>
      </c>
      <c r="B38" s="11" t="inlineStr">
        <is>
          <t>near-duplicate (2 of 2) — same customer, multiple CRM records</t>
        </is>
      </c>
      <c r="C38" s="11" t="inlineStr">
        <is>
          <t>near-duplicate</t>
        </is>
      </c>
      <c r="D38" s="11" t="inlineStr">
        <is>
          <t>Same customer, multiple CRM records — need deduplication</t>
        </is>
      </c>
    </row>
    <row r="39">
      <c r="A39" s="11" t="inlineStr">
        <is>
          <t>L38</t>
        </is>
      </c>
      <c r="B39" s="11" t="inlineStr">
        <is>
          <t>well-specified — sales lead auto-assignment by territory</t>
        </is>
      </c>
      <c r="C39" s="11" t="inlineStr">
        <is>
          <t>strong</t>
        </is>
      </c>
      <c r="D39" s="11" t="inlineStr">
        <is>
          <t>Automatic sales lead assignment by territory</t>
        </is>
      </c>
    </row>
    <row r="40">
      <c r="A40" s="11" t="inlineStr">
        <is>
          <t>L39</t>
        </is>
      </c>
      <c r="B40" s="11" t="inlineStr">
        <is>
          <t>near-duplicate (1 of 2) — reduce duplicate customer records in the CRM</t>
        </is>
      </c>
      <c r="C40" s="11" t="inlineStr">
        <is>
          <t>near-duplicate</t>
        </is>
      </c>
      <c r="D40" s="11" t="inlineStr">
        <is>
          <t>Reduce duplicate customer records in the CRM</t>
        </is>
      </c>
    </row>
    <row r="41">
      <c r="A41" s="11" t="inlineStr">
        <is>
          <t>L40</t>
        </is>
      </c>
      <c r="B41" s="11" t="inlineStr">
        <is>
          <t>well-specified — expense approval automation</t>
        </is>
      </c>
      <c r="C41" s="11" t="inlineStr">
        <is>
          <t>strong</t>
        </is>
      </c>
      <c r="D41" s="11" t="inlineStr">
        <is>
          <t>Automated expense approval reminders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2026-09-24T05:10:47Z</dcterms:created>
  <dcterms:modified xmlns:dcterms="http://purl.org/dc/terms/" xmlns:xsi="http://www.w3.org/2001/XMLSchema-instance" xsi:type="dcterms:W3CDTF">2026-09-24T05:10:47Z</dcterms:modified>
</cp:coreProperties>
</file>